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ggran\Documents\SRC Report Card Generator v1.3.1\"/>
    </mc:Choice>
  </mc:AlternateContent>
  <xr:revisionPtr revIDLastSave="0" documentId="8_{1156911D-229B-4FAE-9302-57B6A614E0A4}" xr6:coauthVersionLast="47" xr6:coauthVersionMax="47" xr10:uidLastSave="{00000000-0000-0000-0000-000000000000}"/>
  <bookViews>
    <workbookView xWindow="-120" yWindow="-120" windowWidth="29040" windowHeight="15720" tabRatio="614" xr2:uid="{915324DB-A0D2-4EA5-8203-43FC2A2E259D}"/>
  </bookViews>
  <sheets>
    <sheet name="Sheet1" sheetId="1" r:id="rId1"/>
    <sheet name="Data" sheetId="2" r:id="rId2"/>
    <sheet name="LevelsDD" sheetId="3" r:id="rId3"/>
    <sheet name="LevelsComments" sheetId="7" r:id="rId4"/>
    <sheet name="SK1Reason" sheetId="4" r:id="rId5"/>
    <sheet name="SK2Reason" sheetId="8" r:id="rId6"/>
    <sheet name="SK3Reason" sheetId="9" r:id="rId7"/>
    <sheet name="SK4Reason" sheetId="10" r:id="rId8"/>
    <sheet name="SK5Reason" sheetId="11" r:id="rId9"/>
    <sheet name="SK6Reason" sheetId="12" r:id="rId10"/>
    <sheet name="SK7Reason" sheetId="13" r:id="rId11"/>
    <sheet name="SK8Reason" sheetId="14" r:id="rId12"/>
    <sheet name="SK9Reason" sheetId="15" r:id="rId13"/>
    <sheet name="SK10Reason" sheetId="16" r:id="rId14"/>
    <sheet name="Sheet2" sheetId="17" state="hidden" r:id="rId15"/>
    <sheet name="List" sheetId="6" state="hidden" r:id="rId16"/>
  </sheets>
  <definedNames>
    <definedName name="Closer">Data!$F$2:$F$4</definedName>
    <definedName name="CurrentSession">Data!$B$2:$B$6</definedName>
    <definedName name="Days">Data!$A$2:$A$9</definedName>
    <definedName name="Level">LevelsDD!$A$1:$J$1</definedName>
    <definedName name="NextLevelSession">LevelsDD!$A$1:$N$1</definedName>
    <definedName name="Opener">Data!$E$2:$E$4</definedName>
    <definedName name="SwimKids1">LevelsDD!$A$2:$A$14</definedName>
    <definedName name="SwimKids1_assistedflutterkick">SK1Reason!$A$2:$A$7</definedName>
    <definedName name="SwimKids1_assistedrolloverglides">SK1Reason!$F$2:$F$7</definedName>
    <definedName name="SwimKids1_backfloatandrecovery">SK1Reason!$D$2:$D$7</definedName>
    <definedName name="SwimKids1_backglide">SK1Reason!$E$2:$E$7</definedName>
    <definedName name="SwimKids1_Comm">LevelsComments!$A$2:$A$14</definedName>
    <definedName name="SwimKids1_distanceswim">SK1Reason!$H$2:$H$3</definedName>
    <definedName name="SwimKids1_exhalingthroughtheirmouthandnose">SK1Reason!$K$2:$K$3</definedName>
    <definedName name="SwimKids1_frontfloatandrecovery">SK1Reason!$B$2:$B$7</definedName>
    <definedName name="SwimKids1_frontglide">SK1Reason!$M$2:$M$5</definedName>
    <definedName name="SwimKids1_frontglidewithkick">SK1Reason!$C$2:$C$7</definedName>
    <definedName name="SwimKids1_frontswim">SK1Reason!$G$2:$G$3</definedName>
    <definedName name="SwimKids1_rhythmicbreathing">SK1Reason!$L$2:$L$3</definedName>
    <definedName name="SwimKids1_shallowwaterentriesandexits">SK1Reason!$I$2:$I$3</definedName>
    <definedName name="SwimKids1_submergingtheirhead">SK1Reason!$J$2:$J$3</definedName>
    <definedName name="SwimKids10">LevelsDD!$J$2:$J$7</definedName>
    <definedName name="SwimKids10_backcrawl">SK10Reason!$C$2:$C$7</definedName>
    <definedName name="SwimKids10_breaststroke">SK10Reason!$E$2:$E$11</definedName>
    <definedName name="SwimKids10_Comm">LevelsComments!$J$2:$J$7</definedName>
    <definedName name="SwimKids10_distanceswim">SK10Reason!$A$2:$A$3</definedName>
    <definedName name="SwimKids10_elementarybackstroke">SK10Reason!$D$2:$D$7</definedName>
    <definedName name="SwimKids10_frontcrawl">SK10Reason!$B$2:$B$7</definedName>
    <definedName name="SwimKids10_sidestroke">SK10Reason!$F$2:$F$7</definedName>
    <definedName name="SwimKids2">LevelsDD!$B$2:$B$10</definedName>
    <definedName name="SwimKids2_assisteddeepwateractivities">SK2Reason!$H$2:$H$3</definedName>
    <definedName name="SwimKids2_assistedflutterkick">SK2Reason!$A$2:$A$7</definedName>
    <definedName name="SwimKids2_assistedsideglidewithflutterkick">SK2Reason!$E$2:$E$7</definedName>
    <definedName name="SwimKids2_backglidewithflutterkick">SK2Reason!$D$2:$D$7</definedName>
    <definedName name="SwimKids2_Comm">LevelsComments!$B$2:$B$10</definedName>
    <definedName name="SwimKids2_distanceswim">SK2Reason!$B$2:$B$3</definedName>
    <definedName name="SwimKids2_frontglidewithflutterkick">SK2Reason!$C$2:$C$7</definedName>
    <definedName name="SwimKids2_frontswim">SK2Reason!$G$2:$G$7</definedName>
    <definedName name="SwimKids2_rhythmicbreathing">SK2Reason!$I$2:$I$3</definedName>
    <definedName name="SwimKids2_rolloverglidewithflutterkick">SK2Reason!$F$2:$F$5</definedName>
    <definedName name="SwimKids3">LevelsDD!$C$2:$C$13</definedName>
    <definedName name="SwimKids3_assistedfrontglidesideglidecombination">SK3Reason!$F$2:$F$7</definedName>
    <definedName name="SwimKids3_backglidewithflutterkick">SK3Reason!$D$2:$D$7</definedName>
    <definedName name="SwimKids3_Comm">LevelsComments!$C$2:$C$13</definedName>
    <definedName name="SwimKids3_deepwaterfloat">SK3Reason!$B$2:$B$7</definedName>
    <definedName name="SwimKids3_deepwatersurfacesupport">SK3Reason!$J$2:$J$5</definedName>
    <definedName name="SwimKids3_distanceswim">SK3Reason!$A$2:$A$5</definedName>
    <definedName name="SwimKids3_flutterkick">SK3Reason!$H$2:$H$7</definedName>
    <definedName name="SwimKids3_frontglidewithflutterkick">SK3Reason!$C$2:$C$7</definedName>
    <definedName name="SwimKids3_frontswim">SK3Reason!$G$2:$G$5</definedName>
    <definedName name="SwimKids3_jumpingin">SK3Reason!$I$2:$I$3</definedName>
    <definedName name="SwimKids3_rhythmicbreathing">SK3Reason!$K$2:$K$3</definedName>
    <definedName name="SwimKids3_sideglidewithflutterkick">SK3Reason!$E$2:$E$7</definedName>
    <definedName name="SwimKids3_sittingdive">SK3Reason!$L$2:$L$3</definedName>
    <definedName name="SwimKids4">LevelsDD!$D$2:$D$10</definedName>
    <definedName name="SwimKids4_backswimwithshoulderroll">SK4Reason!$E$2:$E$7</definedName>
    <definedName name="SwimKids4_Comm">LevelsComments!$D$2:$D$10</definedName>
    <definedName name="SwimKids4_distanceswim">SK4Reason!$A$2:$A$3</definedName>
    <definedName name="SwimKids4_flutterkickonback">SK4Reason!$G$2:$G$7</definedName>
    <definedName name="SwimKids4_frontcrawl">SK4Reason!$F$2:$F$5</definedName>
    <definedName name="SwimKids4_frontglidesideglidecombination">SK4Reason!$D$2:$D$7</definedName>
    <definedName name="SwimKids4_kneelingdive">SK4Reason!$B$2:$B$5</definedName>
    <definedName name="SwimKids4_rhythmicbreathing">SK4Reason!$I$2:$I$3</definedName>
    <definedName name="SwimKids4_scullinginshallowwater">SK4Reason!$H$2:$H$3</definedName>
    <definedName name="SwimKids4_surfacesupportindeepwater">SK4Reason!$C$2:$C$5</definedName>
    <definedName name="SwimKids5">LevelsDD!$E$2:$E$10</definedName>
    <definedName name="SwimKids5_backcrawl">SK5Reason!$F$2:$F$7</definedName>
    <definedName name="SwimKids5_Comm">LevelsComments!$E$2:$E$11</definedName>
    <definedName name="SwimKids5_distanceswim">SK5Reason!$A$2:$A$5</definedName>
    <definedName name="SwimKids5_flutterkick">SK5Reason!$H$2:$H$7</definedName>
    <definedName name="SwimKids5_frontcrawl">SK5Reason!$E$2:$E$7</definedName>
    <definedName name="SwimKids5_headfirstscullingonback">SK5Reason!$D$2:$D$7</definedName>
    <definedName name="SwimKids5_headfirstsurfacedive">SK5Reason!$D$2:$D$7</definedName>
    <definedName name="SwimKids5_rhythmicbreathing">SK5Reason!$I$2:$I$3</definedName>
    <definedName name="SwimKids5_stridedive">SK5Reason!$C$2:$C$5</definedName>
    <definedName name="SwimKids5_treadingwater">SK5Reason!$B$2:$B$7</definedName>
    <definedName name="SwimKids5_whipkickonback">SK5Reason!$G$2:$G$7</definedName>
    <definedName name="SwimKids6">LevelsDD!$F$2:$F$9</definedName>
    <definedName name="SwimKids6_backcrawl">SK6Reason!$G$2:$G$7</definedName>
    <definedName name="SwimKids6_Comm">LevelsComments!$F$2:$F$9</definedName>
    <definedName name="SwimKids6_distanceswim">SK6Reason!$B$2:$B$3</definedName>
    <definedName name="SwimKids6_dolphinkick">SK6Reason!$A$2:$A$7</definedName>
    <definedName name="SwimKids6_elementarybackstroke">SK6Reason!$H$2:$H$7</definedName>
    <definedName name="SwimKids6_frontcrawl">SK6Reason!$F$2:$F$9</definedName>
    <definedName name="SwimKids6_frontdive">SK6Reason!$E$2:$E$7</definedName>
    <definedName name="SwimKids6_headfirstscullingonback">SK6Reason!$C$2:$C$5</definedName>
    <definedName name="SwimKids6_headfirstsurfacedive">SK6Reason!$C$2:$C$5</definedName>
    <definedName name="SwimKids6_treadingwater">SK6Reason!$D$2:$D$5</definedName>
    <definedName name="SwimKids7">LevelsDD!$G$2:$G$9</definedName>
    <definedName name="SwimKids7_backcrawl">SK7Reason!$D$2:$D$7</definedName>
    <definedName name="SwimKids7_Comm">LevelsComments!$G$2:$G$9</definedName>
    <definedName name="SwimKids7_distanceswim">SK7Reason!$B$2:$B$3</definedName>
    <definedName name="SwimKids7_dolphinkick">SK7Reason!$A$2:$A$7</definedName>
    <definedName name="SwimKids7_elementarybackstroke">SK7Reason!$E$2:$E$7</definedName>
    <definedName name="SwimKids7_frontcrawl">SK7Reason!$C$2:$C$7</definedName>
    <definedName name="SwimKids7_frontscull">SK7Reason!$F$2:$F$7</definedName>
    <definedName name="SwimKids7_strideentry">SK7Reason!$I$2:$I$3</definedName>
    <definedName name="SwimKids7_whipkickonfront">SK7Reason!$G$2:$G$7</definedName>
    <definedName name="SwimKids8">LevelsDD!$H$2:$H$8</definedName>
    <definedName name="SwimKids8_backcrawl">SK8Reason!$F$2:$F$7</definedName>
    <definedName name="SwimKids8_breaststroke">SK8Reason!$H$2:$H$9</definedName>
    <definedName name="SwimKids8_Comm">LevelsComments!$H$2:$H$8</definedName>
    <definedName name="SwimKids8_distanceswim">SK8Reason!$B$2:$B$3</definedName>
    <definedName name="SwimKids8_eggbeater">SK8Reason!$A$2:$A$3</definedName>
    <definedName name="SwimKids8_elementarybackstroke">SK8Reason!$G$2:$G$7</definedName>
    <definedName name="SwimKids8_feetfirstsurfacedive">SK8Reason!$C$2:$C$3</definedName>
    <definedName name="SwimKids8_frontcrawl">SK8Reason!$E$2:$E$7</definedName>
    <definedName name="SwimKids8_standingshallowdive">SK8Reason!$D$2:$D$5</definedName>
    <definedName name="SwimKids9">LevelsDD!$I$2:$I$8</definedName>
    <definedName name="SwimKids9_backcrawl">SK9Reason!$D$2:$D$7</definedName>
    <definedName name="SwimKids9_breaststroke">SK9Reason!$F$2:$F$11</definedName>
    <definedName name="SwimKids9_Comm">LevelsComments!$I$2:$I$9</definedName>
    <definedName name="SwimKids9_distanceswim">SK9Reason!$A$2:$A$3</definedName>
    <definedName name="SwimKids9_elementarybackstroke">SK9Reason!$E$2:$E$7</definedName>
    <definedName name="SwimKids9_frontcrawl">SK9Reason!$C$2:$C$7</definedName>
    <definedName name="SwimKids9_headfirstsurfacedive">SK9Reason!$B$2:$B$5</definedName>
    <definedName name="SwimKids9_sidestrokekick">SK9Reason!$G$2:$G$5</definedName>
    <definedName name="Year">Data!$C$2:$C$5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7" l="1"/>
  <c r="B3" i="17"/>
  <c r="B4" i="17"/>
  <c r="B5" i="17"/>
  <c r="B6" i="17"/>
  <c r="B7" i="17"/>
  <c r="B8" i="17"/>
  <c r="B9" i="17"/>
  <c r="B10" i="17"/>
  <c r="B11" i="17"/>
  <c r="B12" i="17"/>
  <c r="B13" i="17"/>
  <c r="A2" i="17"/>
  <c r="C2" i="17" s="1"/>
  <c r="A3" i="17"/>
  <c r="C3" i="17" s="1"/>
  <c r="A4" i="17"/>
  <c r="C4" i="17" s="1"/>
  <c r="A5" i="17"/>
  <c r="A6" i="17"/>
  <c r="C6" i="17" s="1"/>
  <c r="A7" i="17"/>
  <c r="A8" i="17"/>
  <c r="C8" i="17" s="1"/>
  <c r="A9" i="17"/>
  <c r="C9" i="17" s="1"/>
  <c r="A10" i="17"/>
  <c r="A11" i="17"/>
  <c r="C11" i="17" s="1"/>
  <c r="A12" i="17"/>
  <c r="C12" i="17" s="1"/>
  <c r="A13" i="17"/>
  <c r="C13" i="17" s="1"/>
  <c r="A1" i="17"/>
  <c r="C1" i="17" s="1"/>
  <c r="B1" i="17"/>
  <c r="Y86" i="1"/>
  <c r="Y49" i="1"/>
  <c r="Y87" i="1"/>
  <c r="Y111" i="1"/>
  <c r="Y23" i="1"/>
  <c r="Y92" i="1"/>
  <c r="Y18" i="1"/>
  <c r="Y64" i="1"/>
  <c r="Y104" i="1"/>
  <c r="Y72" i="1"/>
  <c r="Y78" i="1"/>
  <c r="Y109" i="1"/>
  <c r="Y108" i="1"/>
  <c r="Y11" i="1"/>
  <c r="Y97" i="1"/>
  <c r="Y70" i="1"/>
  <c r="Y65" i="1"/>
  <c r="Y56" i="1"/>
  <c r="Y71" i="1"/>
  <c r="Y43" i="1"/>
  <c r="Y22" i="1"/>
  <c r="Y10" i="1"/>
  <c r="Y107" i="1"/>
  <c r="Y74" i="1"/>
  <c r="Y34" i="1"/>
  <c r="Y37" i="1"/>
  <c r="Y63" i="1"/>
  <c r="Y105" i="1"/>
  <c r="Y91" i="1"/>
  <c r="Y21" i="1"/>
  <c r="Y88" i="1"/>
  <c r="Y60" i="1"/>
  <c r="Y84" i="1"/>
  <c r="Y27" i="1"/>
  <c r="Y46" i="1"/>
  <c r="Y73" i="1"/>
  <c r="Y38" i="1"/>
  <c r="Y96" i="1"/>
  <c r="Y93" i="1"/>
  <c r="Y6" i="1"/>
  <c r="Y76" i="1"/>
  <c r="Y29" i="1"/>
  <c r="Y83" i="1"/>
  <c r="Y59" i="1"/>
  <c r="Y77" i="1"/>
  <c r="Y67" i="1"/>
  <c r="Y42" i="1"/>
  <c r="Y7" i="1"/>
  <c r="Y8" i="1"/>
  <c r="Y31" i="1"/>
  <c r="Y98" i="1"/>
  <c r="Y55" i="1"/>
  <c r="Y102" i="1"/>
  <c r="Y80" i="1"/>
  <c r="Y9" i="1"/>
  <c r="Y103" i="1"/>
  <c r="Y101" i="1"/>
  <c r="Y112" i="1"/>
  <c r="Y110" i="1"/>
  <c r="Y81" i="1"/>
  <c r="Y17" i="1"/>
  <c r="Y33" i="1"/>
  <c r="Y24" i="1"/>
  <c r="Y26" i="1"/>
  <c r="Y100" i="1"/>
  <c r="Y51" i="1"/>
  <c r="Y106" i="1"/>
  <c r="Y48" i="1"/>
  <c r="Y79" i="1"/>
  <c r="Y44" i="1"/>
  <c r="Y39" i="1"/>
  <c r="Y32" i="1"/>
  <c r="Y75" i="1"/>
  <c r="Y94" i="1"/>
  <c r="Y13" i="1"/>
  <c r="Y41" i="1"/>
  <c r="Y20" i="1"/>
  <c r="Y28" i="1"/>
  <c r="Y35" i="1"/>
  <c r="Y62" i="1"/>
  <c r="Y99" i="1"/>
  <c r="Y30" i="1"/>
  <c r="Y25" i="1"/>
  <c r="Y14" i="1"/>
  <c r="Y47" i="1"/>
  <c r="Y57" i="1"/>
  <c r="Y95" i="1"/>
  <c r="Y54" i="1"/>
  <c r="Y68" i="1"/>
  <c r="Y85" i="1"/>
  <c r="Y82" i="1"/>
  <c r="Y16" i="1"/>
  <c r="Y19" i="1"/>
  <c r="Y50" i="1"/>
  <c r="Y113" i="1"/>
  <c r="Y89" i="1"/>
  <c r="Y61" i="1"/>
  <c r="Y36" i="1"/>
  <c r="Y40" i="1"/>
  <c r="Y53" i="1"/>
  <c r="Y90" i="1"/>
  <c r="Y45" i="1"/>
  <c r="Y66" i="1"/>
  <c r="Y12" i="1"/>
  <c r="Y52" i="1"/>
  <c r="Y58" i="1"/>
  <c r="Y15" i="1"/>
  <c r="Y69" i="1"/>
  <c r="C10" i="17" l="1"/>
  <c r="C7" i="17"/>
  <c r="C5" i="17"/>
</calcChain>
</file>

<file path=xl/sharedStrings.xml><?xml version="1.0" encoding="utf-8"?>
<sst xmlns="http://schemas.openxmlformats.org/spreadsheetml/2006/main" count="783" uniqueCount="582">
  <si>
    <t>First Name</t>
  </si>
  <si>
    <t>Last Name</t>
  </si>
  <si>
    <t>Instructor Name</t>
  </si>
  <si>
    <t>Day</t>
  </si>
  <si>
    <t>Current Session</t>
  </si>
  <si>
    <t>Year</t>
  </si>
  <si>
    <t>Current Level</t>
  </si>
  <si>
    <t>Skill Strength 1</t>
  </si>
  <si>
    <t>Reason 1</t>
  </si>
  <si>
    <t>Skill Weakness</t>
  </si>
  <si>
    <t>Reason 2</t>
  </si>
  <si>
    <t>Skill Strength 2</t>
  </si>
  <si>
    <t>Reason 3</t>
  </si>
  <si>
    <t>Next Level Session</t>
  </si>
  <si>
    <t>Monday</t>
  </si>
  <si>
    <t>Tuesday</t>
  </si>
  <si>
    <t>Wednesday</t>
  </si>
  <si>
    <t>Thursday</t>
  </si>
  <si>
    <t>Friday</t>
  </si>
  <si>
    <t>Saturday</t>
  </si>
  <si>
    <t>Sunday AM</t>
  </si>
  <si>
    <t>Sunday PM</t>
  </si>
  <si>
    <t>Days</t>
  </si>
  <si>
    <t>Fall</t>
  </si>
  <si>
    <t>Winter</t>
  </si>
  <si>
    <t>Spring</t>
  </si>
  <si>
    <t>July</t>
  </si>
  <si>
    <t>August</t>
  </si>
  <si>
    <t>Level</t>
  </si>
  <si>
    <t>Swim Kids 1</t>
  </si>
  <si>
    <t>Swim Kids 2</t>
  </si>
  <si>
    <t>Swim Kids 3</t>
  </si>
  <si>
    <t>Swim Kids 4</t>
  </si>
  <si>
    <t>Swim Kids 5</t>
  </si>
  <si>
    <t>Swim Kids 6</t>
  </si>
  <si>
    <t>Swim Kids 7</t>
  </si>
  <si>
    <t>Swim Kids 8</t>
  </si>
  <si>
    <t>Swim Kids 9</t>
  </si>
  <si>
    <t>Swim Kids 10</t>
  </si>
  <si>
    <t>Closing</t>
  </si>
  <si>
    <t>Opener</t>
  </si>
  <si>
    <t>kneeling dive</t>
  </si>
  <si>
    <t>stride entry</t>
  </si>
  <si>
    <t>standing shallow dive</t>
  </si>
  <si>
    <t>stride dive</t>
  </si>
  <si>
    <t>front dive</t>
  </si>
  <si>
    <t>Input Template:</t>
  </si>
  <si>
    <t>Output Folder:</t>
  </si>
  <si>
    <t>Closer</t>
  </si>
  <si>
    <t>It was a pleasure to teach NAME this session.</t>
  </si>
  <si>
    <t>NAME was a pleasure to teach this session.</t>
  </si>
  <si>
    <t>It has been a blast to teach NAME this session.</t>
  </si>
  <si>
    <t>Good luck next session NAME!</t>
  </si>
  <si>
    <t>I hope to see NAME again next session!</t>
  </si>
  <si>
    <t>Good work this session and I hope to see NAME next session!</t>
  </si>
  <si>
    <t>Bronze Star</t>
  </si>
  <si>
    <t>Swim Team Dev.</t>
  </si>
  <si>
    <t>Bronze Medallion</t>
  </si>
  <si>
    <t>Water Polo</t>
  </si>
  <si>
    <t>Comment</t>
  </si>
  <si>
    <t>They are now able to maintain a near-horizontal body position in the water while kicking.</t>
  </si>
  <si>
    <t>They must remember to maintain a near-horizontal body position in the water while kicking. </t>
  </si>
  <si>
    <t>They are now able to initiate their flutter kick from their hips, keeping their legs straight.</t>
  </si>
  <si>
    <t>They must remember to initiate their flutter kick from their hips, keeping their legs straight.</t>
  </si>
  <si>
    <t>They are now able to move their legs in an opposite up and down motion.</t>
  </si>
  <si>
    <t>They must remember to move their legs in an opposite up and down motion. </t>
  </si>
  <si>
    <t>at shallow water entries and exits</t>
  </si>
  <si>
    <t>at their 5m of front glide with kick</t>
  </si>
  <si>
    <t>at 3 sec of their back float and recovery</t>
  </si>
  <si>
    <t>at 5 sec of their back glide</t>
  </si>
  <si>
    <t>at their 5m of assisted flutter kick</t>
  </si>
  <si>
    <t>at submerging their head</t>
  </si>
  <si>
    <t>at their 5m of front swim</t>
  </si>
  <si>
    <t>Flutter Kick 5m </t>
  </si>
  <si>
    <t>Front Float and Recovery </t>
  </si>
  <si>
    <t>They are now able to float on their front with their face in the water for 3 seconds.</t>
  </si>
  <si>
    <t>They must remember to float on their front with their entire face in the water for 3 seconds.</t>
  </si>
  <si>
    <t>They are now able to float on their front in a relaxed manner.</t>
  </si>
  <si>
    <t>They must remember to float on their front in a relaxed manner. </t>
  </si>
  <si>
    <t>They are now able to comfortably recover to a vertical position following their float.</t>
  </si>
  <si>
    <t>They must remember to comfortably recover to a vertical position following their float.</t>
  </si>
  <si>
    <t>Front Glide With Kick</t>
  </si>
  <si>
    <t>They are now able to glide on their front for 5 seconds at the Swim Kids 1 standard.</t>
  </si>
  <si>
    <t>They must remember to glide on their front for 5 seconds with their face in the water.</t>
  </si>
  <si>
    <t>They are now able to kick on their front for 5m with their body in a streamlined position.</t>
  </si>
  <si>
    <t>They must remember to kick on their front for 5m with their body in a streamlined position.</t>
  </si>
  <si>
    <t>They are now able to glide with their arms fully extended in front of their head, while maintaining a streamlined body position in the water.</t>
  </si>
  <si>
    <t>They must remember to glide with their arms fully extended in front of their head, while maintaining a streamlined body position in the water.</t>
  </si>
  <si>
    <t>Back Float and Recovery</t>
  </si>
  <si>
    <t>They are now able to float on their back for 3 seconds in a relaxed manner with their ears in the water.</t>
  </si>
  <si>
    <t>They must remember to float on their back for 3 seconds in a relaxed manner with their ears in the water. </t>
  </si>
  <si>
    <t>They are now able to float on their back for 3 seconds, before comfortably recovering to a vertical position.</t>
  </si>
  <si>
    <t>They must remember to float on their back for 3 seconds, before comfortably recovering to a vertical position. </t>
  </si>
  <si>
    <t>They are now able to maintain a stable floating position on their back, before comfortably recovering to a vertical position.</t>
  </si>
  <si>
    <t>They must remember to maintain a stable floating position on their back, before comfortably recovering to a vertical position.</t>
  </si>
  <si>
    <t>Back Glide</t>
  </si>
  <si>
    <t>They can now glide on their back for 5 seconds in a relaxed manner.</t>
  </si>
  <si>
    <t>They must ensure that they glide on their back for 5 seconds in a relaxed manner. </t>
  </si>
  <si>
    <t>They can now maintain a streamlined position on their back, with their arms and hands resting alongside their body.</t>
  </si>
  <si>
    <t>They must remember to maintain a streamlined position on their back, with their arms and hands resting alongside their body. </t>
  </si>
  <si>
    <t>They can now comfortably recover to a vertical position after completing their glide.</t>
  </si>
  <si>
    <t>They must ensure that they comfortably recover to a vertical position after completing their glide. </t>
  </si>
  <si>
    <t>Roll-over Glides</t>
  </si>
  <si>
    <t>They can now glide on their front with their face in the water, before rolling onto their back.</t>
  </si>
  <si>
    <t>They must remember to glide on their front with their face in the water, before rolling onto their back. </t>
  </si>
  <si>
    <t>They can now exhale when their face is in the water, and inhale when their face is out of the water.</t>
  </si>
  <si>
    <t>They must remember to exhale when their face is in the water, and inhale when their face is out of the water.</t>
  </si>
  <si>
    <t>They can now initiate their roll with their head and shoulders, and glide in a streamlined and relaxed manner throughout.</t>
  </si>
  <si>
    <t>They must remember to initiate their roll with their head and shoulders, and glide in a streamlined and relaxed manner throughout. </t>
  </si>
  <si>
    <t>Front swim</t>
  </si>
  <si>
    <t>They can now swim 5m using arm and leg movements to propel themselves through the water.</t>
  </si>
  <si>
    <t>They must remember to use a combination of leg and arm movements to propel themselves through the water.</t>
  </si>
  <si>
    <t>Swim Kids 1_Flutter Kick 5m </t>
  </si>
  <si>
    <t>Data Range: 'Sheet2'!$A$3:$C$8</t>
  </si>
  <si>
    <t>Output Range: 'Sheet2'!$L$3:$N$3</t>
  </si>
  <si>
    <t>2022-06-26 11:30:39 PM This data is the auxiliary data generated by Kutools Dynamic Drop-down List</t>
  </si>
  <si>
    <t>shallow water entries and exits</t>
  </si>
  <si>
    <t>Flutter Kick</t>
  </si>
  <si>
    <t>at their 10m of assisted flutter kick</t>
  </si>
  <si>
    <t>at their rhythmic breathing, 10 times</t>
  </si>
  <si>
    <t>at their rhythmic breathing, 5 times</t>
  </si>
  <si>
    <t>at their 10m of front glide with flutter kick</t>
  </si>
  <si>
    <t>at their 5m of back glide with flutter kick</t>
  </si>
  <si>
    <t>at their 3 sec of their front float and recovery</t>
  </si>
  <si>
    <t>at their 5 sec of their front glide</t>
  </si>
  <si>
    <t>at their 5m of assisted side glide with flutter kick</t>
  </si>
  <si>
    <t>at their 15m of flutter kick</t>
  </si>
  <si>
    <t>at jumping in and returning to safety in deep water</t>
  </si>
  <si>
    <t>at their sitting dive</t>
  </si>
  <si>
    <t>at their rhythmic breathing 15 times</t>
  </si>
  <si>
    <t>at their 15m of front glide with flutter kick</t>
  </si>
  <si>
    <t>at their 10m of back glide with flutter kick</t>
  </si>
  <si>
    <t>at their 10m of side glide with flutter kick</t>
  </si>
  <si>
    <t>at their 15m of flutter kick on back</t>
  </si>
  <si>
    <t>at their kneeling dive</t>
  </si>
  <si>
    <t>at their surface support in deep water for 45 sec</t>
  </si>
  <si>
    <t>at their rhythmic breathing, 15 times</t>
  </si>
  <si>
    <t>at their 15m of back swim with shoulder roll</t>
  </si>
  <si>
    <t>at their 10m of front crawl</t>
  </si>
  <si>
    <t>at their 25m of flutter kick</t>
  </si>
  <si>
    <t>at their disorienting entries</t>
  </si>
  <si>
    <t>at treading water for 1 min</t>
  </si>
  <si>
    <t>at their stride dive</t>
  </si>
  <si>
    <t>at their rhythmic breathing 20 times</t>
  </si>
  <si>
    <t>at their 15m of front crawl</t>
  </si>
  <si>
    <t>at their 15m of back crawl</t>
  </si>
  <si>
    <t>at their 10m of dolphin kick</t>
  </si>
  <si>
    <t>at treading water for 1½ min</t>
  </si>
  <si>
    <t>at their front dive</t>
  </si>
  <si>
    <t>at their 25m of front crawl</t>
  </si>
  <si>
    <t>at their 25m of back crawl</t>
  </si>
  <si>
    <t>at their 15m of elementary back stroke</t>
  </si>
  <si>
    <t>at their 15m of dolphin kick</t>
  </si>
  <si>
    <t>at their distance swim</t>
  </si>
  <si>
    <t>at their stride entry</t>
  </si>
  <si>
    <t>at their 50m of front crawl</t>
  </si>
  <si>
    <t>at their 50m of back crawl</t>
  </si>
  <si>
    <t>at their 15m of front scull</t>
  </si>
  <si>
    <t>at their 15m of whip kick on front</t>
  </si>
  <si>
    <t>at their standing shallow dive</t>
  </si>
  <si>
    <t>at their 75m of front crawl</t>
  </si>
  <si>
    <t>at their 75m of back crawl</t>
  </si>
  <si>
    <t>at their 15m of breast stroke</t>
  </si>
  <si>
    <t>at travelling with legs only for 3 min</t>
  </si>
  <si>
    <t>at their 100m of front crawl</t>
  </si>
  <si>
    <t>at their 100m of back crawl</t>
  </si>
  <si>
    <t>at their 50m of elementary back stroke</t>
  </si>
  <si>
    <t>at their 25m of breast stroke</t>
  </si>
  <si>
    <t>at their 15m of sidestroke kick.</t>
  </si>
  <si>
    <t>at their 50m of breast stroke</t>
  </si>
  <si>
    <t>at their 25m of sidestroke</t>
  </si>
  <si>
    <t>They can now maintain a near-horizontal position in the water while kicking.</t>
  </si>
  <si>
    <t>They must remember to maintain a near-horizontal position in the water while kicking.</t>
  </si>
  <si>
    <t>They can now kick from their hips, keeping their legs straight throughout.</t>
  </si>
  <si>
    <t>They must remember to kick from their hips, keeping their legs straight throughout.</t>
  </si>
  <si>
    <t>They can now move their legs in an up and down motion for 10m at the Swim Kids 2 standard.</t>
  </si>
  <si>
    <t>They must remember to move their legs in an up and down motion for 10m at the Swim Kids 2 standard.</t>
  </si>
  <si>
    <t>Distance Swim</t>
  </si>
  <si>
    <t>They can now use a combination of leg and arm movements to propel themselves through the water for 10m at the Swim Kids 2 standard.</t>
  </si>
  <si>
    <t>Front Glide With Flutter Kick</t>
  </si>
  <si>
    <t>They can now glide while performing flutter kick at the Swim Kids 2 standard.</t>
  </si>
  <si>
    <t>They must remember to perform flutter kick while gliding by alternating their legs up and down.</t>
  </si>
  <si>
    <t>They can now kick on their front for 10m in a near-horizontal body position.</t>
  </si>
  <si>
    <t>They must ensure that they kick on their front for 10m in a near-horizontal body position.</t>
  </si>
  <si>
    <t>They can now maintain a streamlined position in the water with their arms fully extended in front of their head.</t>
  </si>
  <si>
    <t>They must remember to maintain a streamlined position in the water with their arms fully extended in front of their head.</t>
  </si>
  <si>
    <t>Back Glide With Flutter Kick</t>
  </si>
  <si>
    <t>They can now glide on their back while performing flutter kick at the Swim Kids 2 standard. </t>
  </si>
  <si>
    <t>They must remember to glide on their back while moving their legs in an alternating up and down motion. </t>
  </si>
  <si>
    <t>They can now kick for at least 5m on their back, with their body in a streamlined position.</t>
  </si>
  <si>
    <t>They must remember to kick for at least 5m on their back, with their body in a streamlined position.</t>
  </si>
  <si>
    <t>They can now maintain a near-horizontal body position with their arms and hands resting alongside their body. </t>
  </si>
  <si>
    <t>They must remember to maintain a near-horizontal body position with their arms and hands resting alongside their body. </t>
  </si>
  <si>
    <t>Side Glide With Flutter Kick</t>
  </si>
  <si>
    <t>They can now glide on their side with one arm extended above their head and the other beside their body, with no movements of their hands.</t>
  </si>
  <si>
    <t>They must remember to glide on their side with one arm extended above their head and the other beside their body, with no movements of their hands.</t>
  </si>
  <si>
    <t>They can now perform flutter kick on their preferred side for 5m at the Swim Kids 2 standard.</t>
  </si>
  <si>
    <t>They must remember to perform flutter kick on their preferred side for 5m. </t>
  </si>
  <si>
    <t>They can now glide with their head turned to the side, and their ear resting in the water near their shoulder.</t>
  </si>
  <si>
    <t>They must ensure that they glide with their head turned to the side, and their ear resting in the water near their shoulder. </t>
  </si>
  <si>
    <t>Roll-over Glide With Flutter Kick</t>
  </si>
  <si>
    <t>They can now perform front glide with flutter kick, before rolling over to their back and continuing to kick.</t>
  </si>
  <si>
    <t>They must remember to perform front glide with flutter kick, before rolling over to their back and continuing to kick.</t>
  </si>
  <si>
    <t>They can now initiate their roll with their head and shoulders, maintaining flutter kick throughout the roll.</t>
  </si>
  <si>
    <t>Front Swim</t>
  </si>
  <si>
    <t>They can now swim on their front in a near-horizontal body position with their face in the water.</t>
  </si>
  <si>
    <t>They must ensure that they swim on their front in a near-horizontal body position with their face in the water. </t>
  </si>
  <si>
    <t>They can now perform flutter kick from their hips, ensuring that their knees are straight throughout.</t>
  </si>
  <si>
    <t>They must remember to perform flutter kick from their hips, ensuring that their knees are straight throughout.</t>
  </si>
  <si>
    <t>They can now move their arms in a full circle motion, reaching out in front of their head.</t>
  </si>
  <si>
    <t>They must remember to move their arms in a full circle motion, reaching out in front of their head.</t>
  </si>
  <si>
    <t>Distance Swim 15m</t>
  </si>
  <si>
    <t>They can now swim 15m continuously using any stroke or a combination of strokes.</t>
  </si>
  <si>
    <t>They must remember to swim 15m continuously using any stroke or a combination of strokes.</t>
  </si>
  <si>
    <t>They can now swim 15m without stopping at the Swim Kids 3 standard.</t>
  </si>
  <si>
    <t>They must ensure that they do not stop swimming throughout the 15m distance.</t>
  </si>
  <si>
    <t>Deep Water Float</t>
  </si>
  <si>
    <t>They can now float in a relaxed manner for 5 seconds in deep water. </t>
  </si>
  <si>
    <t>They must remember to float in a relaxed manner for 5 seconds in deep water. </t>
  </si>
  <si>
    <t>They can now hold a stable position on their front or back with no leg movement.</t>
  </si>
  <si>
    <t>They must remember to hold a stable position on their front or back with no leg movement.</t>
  </si>
  <si>
    <t>They can now comfortably recover to a vertical position following their float.</t>
  </si>
  <si>
    <t>They must remember to comfortably recover to a vertical position following their float. </t>
  </si>
  <si>
    <t>They can now glide on their front while performing flutter kick by alternating their legs up and down, just below the surface.</t>
  </si>
  <si>
    <t>They must remember to glide on their front while performing flutter kick by alternating their legs up and down, just below the surface.</t>
  </si>
  <si>
    <t>They can now glide on their front while kicking continuously for 10m at the Swim Kids 3 standard.</t>
  </si>
  <si>
    <t>They must remember to glide on their front while kicking continuously for 10m.</t>
  </si>
  <si>
    <t>They can now maintain a streamlined body position with their arms extended above their head.</t>
  </si>
  <si>
    <t>They must ensure that they maintain a streamlined body position with their arms extended above their head. </t>
  </si>
  <si>
    <t>They can now maintain a near-horizontal body position on their back, with their hands at their hips.</t>
  </si>
  <si>
    <t>They must remember to maintain a near-horizontal body position on their back, with their hands at their hips.</t>
  </si>
  <si>
    <t>They can now kick on their back with alternating up and down leg motions just below the surface.</t>
  </si>
  <si>
    <t>They must remember to kick on their back with alternating up and down leg motions just below the surface.</t>
  </si>
  <si>
    <t>They can now kick continuously, and breathe in a relaxed manner throughout the glide.</t>
  </si>
  <si>
    <t>They must remember to kick continuously, and breathe in a relaxed manner throughout the glide.</t>
  </si>
  <si>
    <t>They can now glide on their preferred side with one arm extended above their head, and the other beside their body.</t>
  </si>
  <si>
    <t>They must remember to glide on their preferred side with one arm extended above their head, and the other beside their body. </t>
  </si>
  <si>
    <t>They can now perform flutter kick on their preferred side for 10m at the Swim Kids 3 standard.</t>
  </si>
  <si>
    <t>They must remember to perform flutter kick on their preferred side for 10m.</t>
  </si>
  <si>
    <t>They must remember to glide with their head turned to the side, and their ear resting in the water near their shoulder.</t>
  </si>
  <si>
    <t>Front Glide/Side Glide Combination</t>
  </si>
  <si>
    <t>They can now maintain a streamlined body position in the water throughout the exercise.</t>
  </si>
  <si>
    <t>They must remember to maintain a streamlined body position in the water throughout the exercise. </t>
  </si>
  <si>
    <t>They can now start in a front glide position and pull their arm through the water to a side glide position.</t>
  </si>
  <si>
    <t>They must remember to start in a front glide position and pull their arm through the water to a side glide position.</t>
  </si>
  <si>
    <t>They can now perform continuous flutter kick in front glide and side glide position for 10m at the Swim Kids 3 standard.</t>
  </si>
  <si>
    <t>They must remember to perform continuous flutter kick in front glide and side glide position for 10m.</t>
  </si>
  <si>
    <t>Front Swim </t>
  </si>
  <si>
    <t>They can now swim with their face in the water in a near horizontal body position for 10m at the Swim Kids 3 standard.</t>
  </si>
  <si>
    <t>They must remember to swim with their face in the water in a near horizontal body position for 10m at the Swim Kids 3 standard.</t>
  </si>
  <si>
    <t>They can now move their arms opposite to each other, and reach forward with straight arms in front of their head with every stroke.</t>
  </si>
  <si>
    <t>They must remember to move their arms opposite to each other, and reach forward with straight arms in front of their head with every stroke.</t>
  </si>
  <si>
    <t>Distance Swim </t>
  </si>
  <si>
    <t>They can now swim 25m continuously using any or a combination of strokes.</t>
  </si>
  <si>
    <t>They must ensure that they swim 25m without stopping, using any or a combination of strokes.</t>
  </si>
  <si>
    <t>Kneeling Dive</t>
  </si>
  <si>
    <t>They can now perform a front kneeling dive into the water at the Swim Kids 4 standard.</t>
  </si>
  <si>
    <t>They must remember to push off their feet when performing their front kneeling dive.</t>
  </si>
  <si>
    <t>They can now keep their hands and arms above their head throughout the dive path.</t>
  </si>
  <si>
    <t>They must remember to keep their hands and arms above their head throughout the dive path.</t>
  </si>
  <si>
    <t>Surface Support Deep Water</t>
  </si>
  <si>
    <t>They can now tread water using large leg and arm movements in a relaxed manner.</t>
  </si>
  <si>
    <t>They must remember to use large leg and arm movements in a relaxed manner.</t>
  </si>
  <si>
    <t>They can now keep their head above the water for 45 seconds while staying in place.</t>
  </si>
  <si>
    <t>They must ensure that their head stays above the water while staying in place.</t>
  </si>
  <si>
    <t>They can now begin the exercise in a streamlined, stretched front glide position.</t>
  </si>
  <si>
    <t>They must remember to begin the exercise in a streamlined, stretched front glide position.</t>
  </si>
  <si>
    <t>They can now pull their arm effectively to a side glide position, while kicking continuously. </t>
  </si>
  <si>
    <t>They must ensure that they pull their arm effectively to a side glide position, while kicking continuously.  </t>
  </si>
  <si>
    <t>They can now recover their arm over the water and back to a front glide position after gliding on their side.</t>
  </si>
  <si>
    <t>They must remember to  recover their arm over the water and back to a front glide position after gliding on their side.</t>
  </si>
  <si>
    <t>Back Swim With Shoulder Roll</t>
  </si>
  <si>
    <t>They can now maintain a near-horizontal body position in the water with their arms and hands along their sides.</t>
  </si>
  <si>
    <t>They must remember to maintain a near-horizontal body position in the water with their arms and hands along their sides.</t>
  </si>
  <si>
    <t>They can now roll their body from side to side from their shoulders to toes, while keeping their head in a neutral position.</t>
  </si>
  <si>
    <t>They must remember to roll their body from side to side from their shoulders to toes, while keeping their head in a neutral position.</t>
  </si>
  <si>
    <t>They can now breathe in a relaxed manner while kicking continuously on their back and rolling their shoulders.</t>
  </si>
  <si>
    <t>They must remember to breathe in a relaxed manner while kicking continuously on their back. </t>
  </si>
  <si>
    <t>Front Crawl</t>
  </si>
  <si>
    <t>They can now maintain a near-horizontal body position on their front with their entire face in the water.</t>
  </si>
  <si>
    <t>They need to make sure that they maintain a near-horizontal body position on their front with their entire face in the water.</t>
  </si>
  <si>
    <t>They can now flutter kick from their hips near the surface.</t>
  </si>
  <si>
    <t>They need to make sure that they do their flutter kick from their hips near the surface.</t>
  </si>
  <si>
    <t>They can now swim 50m continuously, using any stroke or combination of strokes.</t>
  </si>
  <si>
    <t>They must remember to swim continuously for 50m.</t>
  </si>
  <si>
    <t>They can now complete the 50m distance swim without stopping.</t>
  </si>
  <si>
    <t>They must ensure that they complete the 50m distance swim without stopping.</t>
  </si>
  <si>
    <t>Treading Water</t>
  </si>
  <si>
    <t>They can now tread water at the Swim Kids 5 standard, keeping their head above the surface of the water for one minute. </t>
  </si>
  <si>
    <t>They must remember to keep their head above the surface of the water for one minute. </t>
  </si>
  <si>
    <t>They can now use slow arm and leg movements to tread water, while staying in one place.</t>
  </si>
  <si>
    <t>They must remember to use slow arm and leg movements to tread water, while staying in one place. </t>
  </si>
  <si>
    <t>They can now tread efficiently by minimizing arm and leg movement.</t>
  </si>
  <si>
    <t>They must remember to minimize arm and leg movement to maximize efficiency.</t>
  </si>
  <si>
    <t>Stride Dive</t>
  </si>
  <si>
    <t>They can now perform a front dive from the stride position into the water at the Swim Kids 5 standard.</t>
  </si>
  <si>
    <t>They must remember to dive from the stride position into the water.</t>
  </si>
  <si>
    <t>They are now able to keep their hands and arms extended above their head throughout the dive path. </t>
  </si>
  <si>
    <t>They must remember to keep their hands and arms extended above their head throughout the dive path.</t>
  </si>
  <si>
    <t>Head First Sculling On Back</t>
  </si>
  <si>
    <t>They are now able to extend their body, with their ears in the water, and their legs together.</t>
  </si>
  <si>
    <t>They must remember to extend their body, with their ears in the water, and their legs together.</t>
  </si>
  <si>
    <t>They are now able to flex their hands, so that their wrists and palms extend toward their feet, and their fingers to the ceiling.</t>
  </si>
  <si>
    <t>They must remember to flex their hands, so that their wrists and palms extend toward their feet, and their fingers to the ceiling.</t>
  </si>
  <si>
    <t>They can now swing their lower arms out and in, with even pressure, while keeping their upper arms relatively still and slightly away from their body.</t>
  </si>
  <si>
    <t>They must remember to swing their lower arms out and in, with even pressure, while keeping their upper arms relatively still and slightly away from their body.</t>
  </si>
  <si>
    <t>They can now maintain a near-horizontal body position with their face in the water, and roll their body as one unit to the side to take each breath.</t>
  </si>
  <si>
    <t>They must remember to roll their body as one unit to the side to take each breath.</t>
  </si>
  <si>
    <t>They are now able to perform continuous flutter kick from their hips near the surface, while simultaneously recovering their arms in a controlled and alternate manner.</t>
  </si>
  <si>
    <t>They must remember to perform continuous flutter kick from their hips near the surface, while simultaneously recovering their arms in a controlled and alternate manner. </t>
  </si>
  <si>
    <t>They can now extend each hand in front of their head as they enter the water, before pulling with their hands to shoulder level, and past their hips.</t>
  </si>
  <si>
    <t>They must remember to extend each hand in front of their head as they enter the water, before pulling with their hands to shoulder level, and past their hips. </t>
  </si>
  <si>
    <t>Back Crawl</t>
  </si>
  <si>
    <t>They can now maintain a near-streamlined body position, while rolling their entire body as one unit.</t>
  </si>
  <si>
    <t>They must remember to maintain a near-streamlined body position, while rolling their entire body as one unit.</t>
  </si>
  <si>
    <t>They can now flutter kick from their hips, with their feet near the surface of the water, and their head in a neutral position.</t>
  </si>
  <si>
    <t>They must remember to kick from their hips, with their feet near the surface of the water, and their head in a neutral position</t>
  </si>
  <si>
    <t>They can now recover their arms straight and high above the water in an alternating motion, while breathing in a relaxed manner on their back.</t>
  </si>
  <si>
    <t>They must remember to recover their arms straight and high above the water in an alternating motion, while breathing in a relaxed manner on their back. </t>
  </si>
  <si>
    <t>Whip Kick On Back</t>
  </si>
  <si>
    <t>They can now maintain a near-horizontal back glide position, with their face above the surface of the water at all times throughout the exercise.</t>
  </si>
  <si>
    <t>They must remember to maintain a near-horizontal back glide position, with their face above the surface of the water at all times throughout the exercise.</t>
  </si>
  <si>
    <t>They can now recover their legs symmetrically, by bending their knees and dropping their heels toward the bottom.</t>
  </si>
  <si>
    <t>They must remember to recover their legs symmetrically, by bending their knees and dropping their heels toward the bottom.</t>
  </si>
  <si>
    <t>They can now lead the movement with their heels, drawing a circle and pushing the water with the insides of their feet.</t>
  </si>
  <si>
    <t>They must remember to lead the movement with their heels, drawing a circle and pushing the water with the insides of their feet.</t>
  </si>
  <si>
    <t>Dolphin Kick</t>
  </si>
  <si>
    <t>They can now maintain a streamlined position in the water, with their arms along the sides of their body while moving in a continuous wave motion.</t>
  </si>
  <si>
    <t>They must remember to maintain a streamlined position in the water, with their arms along the sides of their body while moving in a continuous wave motion.</t>
  </si>
  <si>
    <t>They can now initiate their kick from their head, using a wave-like movement through their hips, knees, and feet.</t>
  </si>
  <si>
    <t>They must remember to initiate their kick from their head, using a wave-like movement through their hips, knees, and feet. </t>
  </si>
  <si>
    <t>They always remember to keep their legs and feet together throughout, and lead their legs with their knees during the downbeat of each kick.</t>
  </si>
  <si>
    <t>They must remember to keep their legs and feet together throughout, and lead their legs with their knees during the downbeat of each kick.</t>
  </si>
  <si>
    <t>They can now swim 75m continuously, using any stroke or a combination of strokes at the Swim Kids 6 standard.</t>
  </si>
  <si>
    <t>They must ensure that they do not pause throughout the 75m distance.</t>
  </si>
  <si>
    <t>They can now extend their body at the surface, with their ears in the water and their legs together as they swing their lower arms out and in with even pressure.</t>
  </si>
  <si>
    <t>They must remember to extend their body at the surface, with their ears in the water and their legs together. </t>
  </si>
  <si>
    <t>They can now swing their lower arms out and in with even pressure, while keeping their upper arms relatively still and slightly away from their body.</t>
  </si>
  <si>
    <t>They must remember to swing their lower arms out and in with even pressure, while keeping their upper arms relatively still and slightly away from their body.</t>
  </si>
  <si>
    <t>Tread Water</t>
  </si>
  <si>
    <t>They can now tread deep water for 1 ½ mins with their body in a vertical position.</t>
  </si>
  <si>
    <t>They must remember to keep their body in a vertical position while they tread water.</t>
  </si>
  <si>
    <t>They can now maximize their efficiency by minimizing their overall movement.</t>
  </si>
  <si>
    <t>They must remember to maximize their efficiency by minimizing their overall movement.</t>
  </si>
  <si>
    <t>Front Dive</t>
  </si>
  <si>
    <t>They are now able to perform a front dive, launching from both legs, and diving just below the surface in a streamlined manner.</t>
  </si>
  <si>
    <t>They must remember to launch from both legs, and dive just below the surface in a streamlined manner.</t>
  </si>
  <si>
    <t>They can now enter the water with their hands extended above their head, followed by their head, body, legs, and feet.</t>
  </si>
  <si>
    <t>They must remember to enter the water with their hands extended above their head, followed by their head, body, legs, and feet.</t>
  </si>
  <si>
    <t>They are now able to demonstrate complete control of their dive path, keeping their arms and hands extended above their head throughout.</t>
  </si>
  <si>
    <t>They must remember to demonstrate complete control of their dive path, keeping their arms and hands extended above their head throughout.</t>
  </si>
  <si>
    <t>They can now maintain a near-horizontal position in the water, while performing continuous flutter kicks from their hips near the surface.</t>
  </si>
  <si>
    <t>They must remember to maintain a near-horizontal position in the water, while performing continuous flutter kicks from their hips near the surface.</t>
  </si>
  <si>
    <t>They can now recover their arms above the water in a controlled and alternate manner.</t>
  </si>
  <si>
    <t>They must remember to recover their arms above the water in a controlled and alternate manner.</t>
  </si>
  <si>
    <t>They can now extend their hand entry in front of their head, in line with their shoulders, before pulling their hands to shoulder level and past their hips.</t>
  </si>
  <si>
    <t>They must remember to extend their hand entry in front of their head, in line with their shoulders, before pulling their hands to shoulder level and past their hips. </t>
  </si>
  <si>
    <t>They can now breathe to the side in a rhythmic pattern, keeping their ear in the water without pausing their arm.</t>
  </si>
  <si>
    <t>They must remember to breathe to the side in a rhythmic pattern, keeping their ear in the water without pausing their arm.</t>
  </si>
  <si>
    <t>They can now maintain a neutral head position, while streamlined on their back without swaying their hips.</t>
  </si>
  <si>
    <t>They must remember to maintain a neutral head position, while streamlined on their back without swaying their hips.</t>
  </si>
  <si>
    <t>They can now flutter kick continuously from their hips near the surface of the water, keeping their knees below the surface.</t>
  </si>
  <si>
    <t>They must remember to flutter kick continuously from their hips near the surface of the water, keeping their knees below the surface. </t>
  </si>
  <si>
    <t>They are now able to recover their arms straight and high above the water in an alternating motion, turning their palms outward before they enter.</t>
  </si>
  <si>
    <t>They must remember to recover their arms straight and high above the water in an alternating motion, turning their palms outward before they enter.</t>
  </si>
  <si>
    <t>Elementary Back Stroke </t>
  </si>
  <si>
    <t>They can now keep their back, hips and thighs nearly straight, just below the surface of the water.</t>
  </si>
  <si>
    <t>They must remember to keep their back, hips and thighs nearly straight, just below the surface of the water. </t>
  </si>
  <si>
    <t>They are now able to perform proper whip kick with their feet by leading the movement with their heels, drawing a circle and pushing the water with the insides of their feet.</t>
  </si>
  <si>
    <t>They must remember to lead their whip kick with their heels, drawing a circle and pushing the water with the insides of their feet.</t>
  </si>
  <si>
    <t>They can now initiate the sequence with their hands, with their arms and legs finishing close together for a 2-3 second glide.</t>
  </si>
  <si>
    <t>They must remember to initiate the sequence with their hands, with their arms and legs finishing close together for a 2-3 second glide.</t>
  </si>
  <si>
    <t>They can now swim 150m continuously using any or a combination of strokes, at the Swim Kids 7 standard</t>
  </si>
  <si>
    <t>They must ensure that they swim the 150m distance continuously using any or a combination of recognizable strokes.</t>
  </si>
  <si>
    <t>They are now able to maintain a near-horizontal body position with their face in the water, while performing continuous flutter kick near the surface and pointing their toes forward.</t>
  </si>
  <si>
    <t>They must remember to maintain a near-horizontal body position with their face in the water, while performing continuous flutter kick near the surface and pointing their toes forward.</t>
  </si>
  <si>
    <t>They can now recover their arms above the water in a controlled and alternate manner, extending each hand in front of their head as they enter the water.</t>
  </si>
  <si>
    <t>They must remember to recover their arms above the water in a controlled and alternate manner, extending each hand in front of their head as they enter the water.</t>
  </si>
  <si>
    <t>They are now able to breathe to the side in a rhythmic pattern, coordinating their breathing with their alternate arm recovery above the water.</t>
  </si>
  <si>
    <t>They must remember to breathe to the side in a rhythmic pattern, coordinating their breathing with their alternate arm recovery above the water.</t>
  </si>
  <si>
    <t>They are now able to maintain a streamlined body position with their head in a neutral position and their chin tucked slightly toward their chest.</t>
  </si>
  <si>
    <t>They must remember to maintain a streamlined body position with their head in a neutral position and their chin tucked slightly toward their chest. </t>
  </si>
  <si>
    <t>They are now able to keep their knees below the surface when they kick, and recover their arms straight and high above the water in an alternating motion. </t>
  </si>
  <si>
    <t>They must remember to keep their knees below the surface when they kick, and recover their arms straight and high above the water in an alternating motion.</t>
  </si>
  <si>
    <t>They are now able to coordinate their body roll with their arm recovery, without pausing their arms.</t>
  </si>
  <si>
    <t>They must remember to coordinate their body roll with their arm recovery, without pausing their arms.</t>
  </si>
  <si>
    <t>Elementary Back Stroke</t>
  </si>
  <si>
    <t>They must remember to perform proper whip kick with their feet by leading the movement with their heels, drawing a circle and pushing the water with the insides of their feet.</t>
  </si>
  <si>
    <t>They always remember to accelerate their arms through the power phase, pushing them toward their sides as they begin their slide.</t>
  </si>
  <si>
    <t>They must remember to accelerate their arms through the power phase, pushing them toward their sides as they begin their slide.</t>
  </si>
  <si>
    <t>Front Scull</t>
  </si>
  <si>
    <t>They can now perform a sculling motion with their lower arms, causing forward movement.</t>
  </si>
  <si>
    <t>They must remember to perform a sculling motion with their lower arms, causing forward movement.</t>
  </si>
  <si>
    <t>They can now lean forward in the water as they scull, with their arms extended in front, just wider than shoulder width.</t>
  </si>
  <si>
    <t>They must remember to lean forward in the water as they scull, with their arms extended in front, just wider than shoulder width.</t>
  </si>
  <si>
    <t>They are now able to bend their elbows and forcefully skull their hands and lower arms down and underneath their chin, before gently swinging them out and back up to the surface.</t>
  </si>
  <si>
    <t>They must remember to bend their elbows and forcefully skull their hands and lower arms down and underneath their chin, before gently swinging them out and back up to the surface.</t>
  </si>
  <si>
    <t>Whip Kick On Front</t>
  </si>
  <si>
    <t>They can now glide in a near-horizontal body position with their face in the water, while performing whip kick.</t>
  </si>
  <si>
    <t>They must remember to glide in a near-horizontal body position with their face in the water, while performing whip kick.</t>
  </si>
  <si>
    <t>They are now able to recover their legs symmetrically by bending their knees and pulling their heels toward their buttocks.</t>
  </si>
  <si>
    <t>They must remember to recover their legs symmetrically by bending their knees and pulling their heels toward their buttocks. </t>
  </si>
  <si>
    <t>They can now lead the whip kick movement on their front with their feet, keeping their ankles slightly wider than their knees, and drawing a circle.</t>
  </si>
  <si>
    <t>They must remember to  lead the whip kick movement on their front with their feet, keeping their ankles slightly wider than their knees, and drawing a circle.</t>
  </si>
  <si>
    <t>Eggbeater</t>
  </si>
  <si>
    <t>They are now able to sit in the water with their back straight, while rotating their legs in a circular motion, alternating their leg actions.</t>
  </si>
  <si>
    <t>They must remember to sit in the water with their back straight, while rotating their legs in a circular motion, alternating their leg actions. </t>
  </si>
  <si>
    <t>They can now swim 300m continuously using any or a combination of strokes at the Swim Kids 8 standard.</t>
  </si>
  <si>
    <t>They must remember to swim continuously throughout the 300m distance, at the Swim Kids 8 standard.</t>
  </si>
  <si>
    <t>Feet-First Surface Dive</t>
  </si>
  <si>
    <t>They can now press down with their arms, performing a power kick to provide upward body lift, before using upward arm presses to assist their vertical descent, keeping their legs together throughout.</t>
  </si>
  <si>
    <t>They must ensure that they press down with their arms, performing a power kick to provide upward body lift, before using upward arm presses to assist their vertical descent, keeping their legs together throughout. </t>
  </si>
  <si>
    <t>Standing Shallow Dive</t>
  </si>
  <si>
    <t>They are now able to enter the water in a streamlined manner, keeping their arms and hands extended above their head.</t>
  </si>
  <si>
    <t>They must remember to enter the water in a streamlined manner, keeping their arms and hands extended above their head.</t>
  </si>
  <si>
    <t>They can now dive a maximum depth of 1m, while maintaining a streamlined position throughout.</t>
  </si>
  <si>
    <t>They must remember to dive a maximum depth of 1m, while maintaining a streamlined position throughout.</t>
  </si>
  <si>
    <t>They can now maintain a near-horizontal position in the water, kicking from their hips and flicking their ankles with each kick.</t>
  </si>
  <si>
    <t>They must remember to maintain a near-horizontal position in the water, kicking from their hips and flicking their ankles with each kick.</t>
  </si>
  <si>
    <t>They can now extend each hand entry in front of their head and in line with their shoulders, as they recover their arms above the water in a controlled and alternate manner. </t>
  </si>
  <si>
    <t>They must remember to extend each hand entry in front of their head and in line with their shoulders, as they recover their arms above the water in a controlled and alternate manner.</t>
  </si>
  <si>
    <t>They are now able to breathe to the side in a rhythmic pattern, coordinating their breathing with their alternate arm recovery above the water. </t>
  </si>
  <si>
    <t>They must remember to breathe to the side in a rhythmic pattern, coordinating their breathing with their alternate arm recovery above the water. </t>
  </si>
  <si>
    <t>They can now roll their entire body as one unit on their back without swaying their hips, and kick continuously at the surface.</t>
  </si>
  <si>
    <t>They must remember to roll their entire body as one unit on their back without swaying their hips, and kick continuously at the surface.</t>
  </si>
  <si>
    <t>They are now able to keep their knees below the surface of the water as they kick, and recover their arms straight and high above the water in an alternating motion. </t>
  </si>
  <si>
    <t>They must remember to keep their knees below the surface of the water as they kick, and recover their arms straight and high above the water in an alternating motion.</t>
  </si>
  <si>
    <t>They always remember to slightly bend their elbows as their arms pull to their hips and push to their legs.</t>
  </si>
  <si>
    <t>They must remember to slightly bend their elbows as their arms pull to their hips and push to their legs.</t>
  </si>
  <si>
    <t>They can now perform proper whip kick on their back by leading the movement with their heels, drawing a circle and pushing the water with the insides of their feet.  </t>
  </si>
  <si>
    <t>They must remember to lead the whip kick with their heels, drawing a circle and pushing the water with the insides of their feet.  </t>
  </si>
  <si>
    <t>They are now able to whip their feet and lower legs back to a glide position with streamlined legs and feet, straightening their legs as they come together.</t>
  </si>
  <si>
    <t>They must remember to whip their feet and lower legs back to a glide position with streamlined legs and feet, straightening their legs as they come together.</t>
  </si>
  <si>
    <t>They are now able to initiate the sequence with their hands, with their arms and legs finishing close together for the glide stage.</t>
  </si>
  <si>
    <t>They must remember to initiate the sequence with their hands, with their arms and legs finishing close together for the glide stage.</t>
  </si>
  <si>
    <t>Breast Stroke </t>
  </si>
  <si>
    <t>They can now keep their body and head near the surface of the water throughout.</t>
  </si>
  <si>
    <t>They must remember to keep their body and head near the surface of the water throughout.</t>
  </si>
  <si>
    <t>They can now accelerate their legs through the power phase, in order to enter their glide with momentum. </t>
  </si>
  <si>
    <t>They must remember to accelerate their legs through the power phase, in order to enter their glide with momentum.</t>
  </si>
  <si>
    <t>They are now able to recover their arms forward to a full extension, with their palms together for their glide.</t>
  </si>
  <si>
    <t>They must remember to recover their arms forward to a full extension, with their palms together for their glide.</t>
  </si>
  <si>
    <t>They are now able to catch the water with their hands, as they pull their hands outward, slightly wider than their shoulders.</t>
  </si>
  <si>
    <t>They must remember to catch the water with their hands, as they pull their hands outward, slightly wider than their shoulders.</t>
  </si>
  <si>
    <t>They can now swim 400m continuously, using any or a combination of strokes at the Swim Kids 9 standard.</t>
  </si>
  <si>
    <t>They must remember to swim continuously throughout the 400m distance, using any or a combination of strokes.</t>
  </si>
  <si>
    <t>Head-First Surface Dive</t>
  </si>
  <si>
    <t>They can now tuck into a vertical descent, keeping their body streamlined with their legs together.</t>
  </si>
  <si>
    <t>They must remember to tuck  into a vertical descent, keeping their body streamlined with their legs together.</t>
  </si>
  <si>
    <t>They are now able to descend at least 2m vertically head-first, before returning to the surface with their arm extended above their head.</t>
  </si>
  <si>
    <t>They must remember to descend vertically head-first, before returning to the surface with their arm extended above their head.</t>
  </si>
  <si>
    <t>They are now able to maintain a near-horizontal body position with their face in the water, without swaying their hips and kicking from their hips.</t>
  </si>
  <si>
    <t>They must remember to maintain a near-horizontal body position with their face in the water, without swaying their hips and kicking from their hips.</t>
  </si>
  <si>
    <t>They are now able to recover their arms above the water in a controlled and alternate manner, extending their hands in front of their head in front of their shoulders </t>
  </si>
  <si>
    <t>They must remember to recover their arms above the water in a controlled and alternate manner, extending their hands in front of their head in front of their shoulders  </t>
  </si>
  <si>
    <t>They can now breathe to the side in a rhythmic pattern, coordinating their breathing with their alternate arm recovery above the water.</t>
  </si>
  <si>
    <t>Breast Stroke</t>
  </si>
  <si>
    <t>They are now able to use the correct breast stroke timing sequence: pull, breathe, kick, glide.</t>
  </si>
  <si>
    <t>They must remember to use the correct breast stroke timing sequence: pull, breathe, kick, glide.</t>
  </si>
  <si>
    <t>Sidestroke Kick</t>
  </si>
  <si>
    <t>They can now align their body and head in a horizontal side glide position, recovering their legs slowly and together by pulling their knees toward their chest.</t>
  </si>
  <si>
    <t>They must remember to align their body and head in a horizontal side glide position, recovering their legs slowly and together by pulling their knees toward their chest.</t>
  </si>
  <si>
    <t>They are now able to extend one leg forward with their foot flexed, and one leg back with their toes pointed, before squeezing their legs together until their ankles touch.</t>
  </si>
  <si>
    <t>They must remember to  extend one leg forward with their foot flexed, and one leg back with their toes pointed, before squeezing their legs together until their ankles touch.</t>
  </si>
  <si>
    <t>They can now swim 500m continuously, using any or a combination of strokes at the Swim Kids 10 standard.</t>
  </si>
  <si>
    <t>They must ensure that they swim the full 500m distance continuously. </t>
  </si>
  <si>
    <t>They can now consistently whip their feet and lower legs back to a glide position with streamlined legs and feet, straightening their legs as they come together.</t>
  </si>
  <si>
    <t>Sidestroke</t>
  </si>
  <si>
    <t>They can now align their body and head in a horizontal side glide position, recovering their legs slowly and together by pulling their knees toward their chest. </t>
  </si>
  <si>
    <t>They must remember to align their body and head in a horizontal side glide position, recovering their legs slowly and together by pulling their knees toward their chest. </t>
  </si>
  <si>
    <t>They are now able to recover their trailing arm close to their body, to meet their leading hand at their chest.</t>
  </si>
  <si>
    <t>They must remember to recover their trailing arm close to their body, to meet their leading hand at their chest.</t>
  </si>
  <si>
    <t>They are now able to push the water toward their feet with their trailing arm, finishing in a side glide position.</t>
  </si>
  <si>
    <t>They must remember to push the water toward their feet with their trailing arm, finishing in a side glide position.</t>
  </si>
  <si>
    <t>assisted deep water activities</t>
  </si>
  <si>
    <t>assisted flutter kick</t>
  </si>
  <si>
    <t>back float and recovery</t>
  </si>
  <si>
    <t>back glide</t>
  </si>
  <si>
    <t>front swim</t>
  </si>
  <si>
    <t>distance swim</t>
  </si>
  <si>
    <t>rhythmic breathing</t>
  </si>
  <si>
    <t>front glide with flutter kick</t>
  </si>
  <si>
    <t>back glide with flutter kick</t>
  </si>
  <si>
    <t>assisted side glide with flutter kick</t>
  </si>
  <si>
    <t>flutter kick</t>
  </si>
  <si>
    <t>deep water float</t>
  </si>
  <si>
    <t>side glide with flutter kick</t>
  </si>
  <si>
    <t>flutter kick on back</t>
  </si>
  <si>
    <t>back swim with shoulder roll</t>
  </si>
  <si>
    <t>front crawl</t>
  </si>
  <si>
    <t>treading water</t>
  </si>
  <si>
    <t>back crawl</t>
  </si>
  <si>
    <t>whip kick on back</t>
  </si>
  <si>
    <t>dolphin kick</t>
  </si>
  <si>
    <t>elementary back stroke</t>
  </si>
  <si>
    <t>front scull</t>
  </si>
  <si>
    <t>whip kick on front</t>
  </si>
  <si>
    <t>eggbeater</t>
  </si>
  <si>
    <t>breast stroke</t>
  </si>
  <si>
    <t>sidestroke kick</t>
  </si>
  <si>
    <t>sidestroke</t>
  </si>
  <si>
    <t>front float and recovery</t>
  </si>
  <si>
    <t>front glide</t>
  </si>
  <si>
    <t>front glide with kick</t>
  </si>
  <si>
    <t>assisted roll over glides</t>
  </si>
  <si>
    <t>at their 5 sec of assisted roll over glides</t>
  </si>
  <si>
    <t>at their 5m of roll over glide with flutter kick</t>
  </si>
  <si>
    <t>at their 10m of assisted front glide side glide combination</t>
  </si>
  <si>
    <t>assisted front glide side glide combination</t>
  </si>
  <si>
    <t>Flutterkick</t>
  </si>
  <si>
    <t>They can now move their legs in an up and down motion for 15m at the Swim Kids 3 standard.</t>
  </si>
  <si>
    <t>They must remember to move their legs in an up and down motion for 15m at the Swim Kids 3 standard.</t>
  </si>
  <si>
    <t>They can now move their legs in an up and down motion for 25m at the Swim Kids 5 standard.</t>
  </si>
  <si>
    <t>They must remember to move their legs in an up and down motion for 25m at the Swim Kids 5 standard.</t>
  </si>
  <si>
    <t>Flutterkick on back</t>
  </si>
  <si>
    <t>They can now move their legs in an up and down motion for 15m at the Swim Kids 4 standard.</t>
  </si>
  <si>
    <t>They must remember to move their legs in an up and down motion for 15m at the Swim Kids 4 standard.</t>
  </si>
  <si>
    <t>front glide side glide combination</t>
  </si>
  <si>
    <t>feet first surface dive</t>
  </si>
  <si>
    <t>head first sculling on back</t>
  </si>
  <si>
    <t>head first surface dive</t>
  </si>
  <si>
    <t>roll over glide with flutter kick</t>
  </si>
  <si>
    <t>at their feet first surface dive</t>
  </si>
  <si>
    <t>at their 25m of elementary back stroke</t>
  </si>
  <si>
    <t>at their eggbeater for 3 min</t>
  </si>
  <si>
    <t>Shallow water Entries and Exits</t>
  </si>
  <si>
    <t>Submerge Head</t>
  </si>
  <si>
    <t>Exhale through mouth and nose</t>
  </si>
  <si>
    <t>Rhythmic Breathing</t>
  </si>
  <si>
    <t>Front Glide</t>
  </si>
  <si>
    <t>They can now use a combination of leg and arm movements to propel themselves through the water for 5m at the Swim Kids 1 standard.</t>
  </si>
  <si>
    <t>They can now safely enter and exit the shallow water, while also making sure an adult is present in the water before entering.</t>
  </si>
  <si>
    <t>They must remember to wait for the adult to be in the water before entering the water.</t>
  </si>
  <si>
    <t>They can now put their entire head with open eyes under the water for 3 seconds.</t>
  </si>
  <si>
    <t>They must remember to put their entire head under the water for 3 seconds.</t>
  </si>
  <si>
    <t>They can now blow bubbles through their mouth and nose while under the water.</t>
  </si>
  <si>
    <t>They must remember to blow lots of bubbles through their mouth and nose while under the water.</t>
  </si>
  <si>
    <t xml:space="preserve">They are now able to exhale through their mouth underwater and inhale above water 5 times in a row. </t>
  </si>
  <si>
    <t>They must remember to blow lots of bubbles while under the water and take a quick inhale when their face is out of the water.</t>
  </si>
  <si>
    <t>Deep Water Activities</t>
  </si>
  <si>
    <t>They can now enter deep water safely and can use a combination of arms and legs to move back to safety.</t>
  </si>
  <si>
    <t>They must remember to enter the deep water safely and to use their arms and legs to get them back to safety.</t>
  </si>
  <si>
    <t xml:space="preserve">They are now able to exhale through their mouth underwater and inhale above water 10 times in a row. </t>
  </si>
  <si>
    <t>jump</t>
  </si>
  <si>
    <t>surface support</t>
  </si>
  <si>
    <t>They must remember to return to the nearest point of safety after jumping into deep water.</t>
  </si>
  <si>
    <t>They can jump into deep water safely and orient themselves back to the nearest point of safety.</t>
  </si>
  <si>
    <t>Sitting Dive</t>
  </si>
  <si>
    <t>They can now keep their head above the water for 20 seconds while staying in place.</t>
  </si>
  <si>
    <t>They are now able to exhale through their mouth underwater and inhale above water 15 times in a row while not stopping.</t>
  </si>
  <si>
    <t>They can now enter the water in a streamlined position, ensuring that their arms extend over head and their chin is tucked in.</t>
  </si>
  <si>
    <t>They must remember to keep their chin tucked and extend their arms over head while pushing with their feet from the wall.</t>
  </si>
  <si>
    <t>Sculling</t>
  </si>
  <si>
    <t>Rhythmic</t>
  </si>
  <si>
    <t>They can now swing their lower arms and hands out and in with even pressure.</t>
  </si>
  <si>
    <t>They must remember to move their arms and hands, with their fingers together, evenly through the water.</t>
  </si>
  <si>
    <t>They are now able to exhale through their mouth underwater and inhale through their mouth to the side 15 times in a row with not stopping.</t>
  </si>
  <si>
    <t>They must remember to turn their head to the side in order to breathe.</t>
  </si>
  <si>
    <t>They are now able to exhale through their mouth underwater and inhale through their mouth to the side 20 times in a row with not stopping.</t>
  </si>
  <si>
    <t>Stride Entry</t>
  </si>
  <si>
    <t>They can now keep their head above the water while pushing down on the water during the entry.</t>
  </si>
  <si>
    <t>They must remember to push down on the water with outstretched their arms.</t>
  </si>
  <si>
    <t>at exhaling through their mouth and nose</t>
  </si>
  <si>
    <t>sitting dive</t>
  </si>
  <si>
    <t>at their deep water floats for 5 sec</t>
  </si>
  <si>
    <t>at their deep water surface support for 20 sec</t>
  </si>
  <si>
    <t>deep water surface support</t>
  </si>
  <si>
    <t>jumping in</t>
  </si>
  <si>
    <t>at their 10m of whip kick on back</t>
  </si>
  <si>
    <t>at their 10m of front swim</t>
  </si>
  <si>
    <t>exhaling through their mouth and nose</t>
  </si>
  <si>
    <t>submerging their head</t>
  </si>
  <si>
    <t>at completing their assisted deep water activities</t>
  </si>
  <si>
    <t>They must remember to initiate their roll with their head and shoulders, maintaining flutter kick throughout the roll. </t>
  </si>
  <si>
    <t>sculling in shallow water</t>
  </si>
  <si>
    <t>at sculling in shallow water</t>
  </si>
  <si>
    <t>surface support in deep water</t>
  </si>
  <si>
    <t>at their 15m of front glide side glide combination</t>
  </si>
  <si>
    <t>at their 5m of head first sculling on back</t>
  </si>
  <si>
    <t>at their 10m of head first sculling on back</t>
  </si>
  <si>
    <t>at their head first surface dive</t>
  </si>
  <si>
    <r>
      <t xml:space="preserve"> </t>
    </r>
    <r>
      <rPr>
        <b/>
        <sz val="16"/>
        <color theme="1"/>
        <rFont val="Calibri"/>
        <family val="2"/>
        <scheme val="minor"/>
      </rPr>
      <t xml:space="preserve"> SRC Swim Kids Progress/Report Card Generator v1.3.1</t>
    </r>
    <r>
      <rPr>
        <b/>
        <sz val="24"/>
        <color theme="1"/>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</si>
</sst>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b/>
      <sz val="10"/>
      <color theme="1"/>
      <name val="Arial"/>
      <family val="2"/>
    </font>
    <font>
      <sz val="10"/>
      <color theme="1"/>
      <name val="Arial"/>
      <family val="2"/>
    </font>
    <font>
      <b/>
      <sz val="11"/>
      <color theme="0"/>
      <name val="Calibri"/>
      <family val="2"/>
      <scheme val="minor"/>
    </font>
    <font>
      <sz val="11"/>
      <color theme="0"/>
      <name val="Calibri"/>
      <family val="2"/>
      <scheme val="minor"/>
    </font>
    <font>
      <sz val="8"/>
      <name val="Calibri"/>
      <family val="2"/>
      <scheme val="minor"/>
    </font>
    <font>
      <b/>
      <sz val="24"/>
      <color theme="1"/>
      <name val="Calibri"/>
      <family val="2"/>
      <scheme val="minor"/>
    </font>
    <font>
      <sz val="11"/>
      <name val="Calibri"/>
      <family val="2"/>
      <scheme val="minor"/>
    </font>
    <font>
      <b/>
      <sz val="16"/>
      <color theme="1"/>
      <name val="Calibri"/>
      <family val="2"/>
      <scheme val="minor"/>
    </font>
  </fonts>
  <fills count="6">
    <fill>
      <patternFill patternType="none"/>
    </fill>
    <fill>
      <patternFill patternType="gray125"/>
    </fill>
    <fill>
      <patternFill patternType="solid">
        <fgColor theme="2"/>
        <bgColor indexed="64"/>
      </patternFill>
    </fill>
    <fill>
      <patternFill patternType="solid">
        <fgColor theme="4"/>
        <bgColor indexed="64"/>
      </patternFill>
    </fill>
    <fill>
      <patternFill patternType="solid">
        <fgColor rgb="FFBBDCDF"/>
        <bgColor indexed="64"/>
      </patternFill>
    </fill>
    <fill>
      <patternFill patternType="solid">
        <fgColor rgb="FF529FC2"/>
        <bgColor indexed="64"/>
      </patternFill>
    </fill>
  </fills>
  <borders count="5">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diagonal/>
    </border>
    <border>
      <left style="medium">
        <color rgb="FFCCCCCC"/>
      </left>
      <right/>
      <top/>
      <bottom/>
      <diagonal/>
    </border>
    <border>
      <left/>
      <right/>
      <top/>
      <bottom style="medium">
        <color rgb="FFCCCCCC"/>
      </bottom>
      <diagonal/>
    </border>
  </borders>
  <cellStyleXfs count="1">
    <xf numFmtId="0" fontId="0" fillId="0" borderId="0"/>
  </cellStyleXfs>
  <cellXfs count="28">
    <xf numFmtId="0" fontId="0" fillId="0" borderId="0" xfId="0"/>
    <xf numFmtId="0" fontId="1" fillId="0" borderId="0" xfId="0" applyFont="1"/>
    <xf numFmtId="0" fontId="3" fillId="0" borderId="1" xfId="0" applyFont="1" applyBorder="1" applyAlignment="1">
      <alignment wrapText="1"/>
    </xf>
    <xf numFmtId="0" fontId="2" fillId="0" borderId="1" xfId="0" applyFont="1" applyBorder="1" applyAlignment="1">
      <alignment wrapText="1"/>
    </xf>
    <xf numFmtId="0" fontId="2" fillId="0" borderId="1" xfId="0" applyFont="1" applyBorder="1" applyAlignment="1"/>
    <xf numFmtId="0" fontId="3" fillId="0" borderId="1" xfId="0" applyFont="1" applyBorder="1" applyAlignment="1"/>
    <xf numFmtId="0" fontId="0" fillId="0" borderId="0" xfId="0" applyFill="1"/>
    <xf numFmtId="0" fontId="0" fillId="0" borderId="0" xfId="0" applyFill="1" applyAlignment="1"/>
    <xf numFmtId="0" fontId="1" fillId="0" borderId="0" xfId="0" applyFont="1" applyAlignment="1">
      <alignment horizontal="center"/>
    </xf>
    <xf numFmtId="0" fontId="2" fillId="0" borderId="1" xfId="0" applyFont="1" applyBorder="1" applyAlignment="1">
      <alignment horizontal="center" vertical="center" wrapText="1"/>
    </xf>
    <xf numFmtId="0" fontId="0" fillId="0" borderId="0" xfId="0" applyFont="1"/>
    <xf numFmtId="0" fontId="0" fillId="0" borderId="0" xfId="0" applyAlignment="1">
      <alignment wrapText="1"/>
    </xf>
    <xf numFmtId="0" fontId="2" fillId="0" borderId="2" xfId="0" applyFont="1" applyFill="1" applyBorder="1" applyAlignment="1"/>
    <xf numFmtId="0" fontId="0" fillId="2" borderId="0" xfId="0" applyFill="1" applyAlignment="1"/>
    <xf numFmtId="0" fontId="0" fillId="0" borderId="0" xfId="0" applyAlignment="1" applyProtection="1"/>
    <xf numFmtId="0" fontId="0" fillId="0" borderId="0" xfId="0" applyFill="1" applyAlignment="1">
      <alignment wrapText="1"/>
    </xf>
    <xf numFmtId="0" fontId="3" fillId="0" borderId="0" xfId="0" applyFont="1" applyFill="1" applyBorder="1" applyAlignment="1"/>
    <xf numFmtId="0" fontId="5" fillId="0" borderId="0" xfId="0" applyFont="1"/>
    <xf numFmtId="0" fontId="5" fillId="0" borderId="0" xfId="0" applyFont="1" applyFill="1"/>
    <xf numFmtId="0" fontId="2" fillId="5" borderId="1" xfId="0" applyFont="1" applyFill="1" applyBorder="1" applyAlignment="1">
      <alignment horizontal="center" vertical="center" wrapText="1"/>
    </xf>
    <xf numFmtId="0" fontId="2" fillId="5" borderId="2" xfId="0" applyFont="1" applyFill="1" applyBorder="1" applyAlignment="1">
      <alignment horizontal="center" vertical="center" wrapText="1"/>
    </xf>
    <xf numFmtId="0" fontId="8" fillId="0" borderId="0" xfId="0" applyFont="1" applyFill="1"/>
    <xf numFmtId="0" fontId="0" fillId="4" borderId="0" xfId="0" applyFill="1" applyAlignment="1">
      <alignment horizontal="center"/>
    </xf>
    <xf numFmtId="0" fontId="4" fillId="3" borderId="0" xfId="0" applyFont="1" applyFill="1" applyAlignment="1">
      <alignment horizontal="center" vertical="center"/>
    </xf>
    <xf numFmtId="0" fontId="8" fillId="4" borderId="3" xfId="0" applyFont="1" applyFill="1" applyBorder="1" applyAlignment="1">
      <alignment horizontal="center"/>
    </xf>
    <xf numFmtId="0" fontId="8" fillId="4" borderId="0" xfId="0" applyFont="1" applyFill="1" applyAlignment="1">
      <alignment horizontal="center"/>
    </xf>
    <xf numFmtId="0" fontId="7" fillId="4" borderId="0" xfId="0" applyFont="1" applyFill="1" applyAlignment="1" applyProtection="1">
      <alignment horizontal="center" vertical="center"/>
    </xf>
    <xf numFmtId="0" fontId="7" fillId="4" borderId="4" xfId="0" applyFont="1" applyFill="1" applyBorder="1" applyAlignment="1" applyProtection="1">
      <alignment horizontal="center" vertical="center"/>
    </xf>
  </cellXfs>
  <cellStyles count="1">
    <cellStyle name="Normal" xfId="0" builtinId="0"/>
  </cellStyles>
  <dxfs count="0"/>
  <tableStyles count="0" defaultTableStyle="TableStyleMedium2" defaultPivotStyle="PivotStyleLight16"/>
  <colors>
    <mruColors>
      <color rgb="FF529FC2"/>
      <color rgb="FFBBDC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12</xdr:col>
      <xdr:colOff>9525</xdr:colOff>
      <xdr:row>0</xdr:row>
      <xdr:rowOff>0</xdr:rowOff>
    </xdr:from>
    <xdr:to>
      <xdr:col>13</xdr:col>
      <xdr:colOff>0</xdr:colOff>
      <xdr:row>0</xdr:row>
      <xdr:rowOff>247650</xdr:rowOff>
    </xdr:to>
    <xdr:sp macro="[0]!PDFTemplate" textlink="">
      <xdr:nvSpPr>
        <xdr:cNvPr id="2" name="Rectangle 1">
          <a:extLst>
            <a:ext uri="{FF2B5EF4-FFF2-40B4-BE49-F238E27FC236}">
              <a16:creationId xmlns:a16="http://schemas.microsoft.com/office/drawing/2014/main" id="{9535C861-A79B-46F2-BADA-BC60BA6D003B}"/>
            </a:ext>
          </a:extLst>
        </xdr:cNvPr>
        <xdr:cNvSpPr/>
      </xdr:nvSpPr>
      <xdr:spPr>
        <a:xfrm>
          <a:off x="6029325" y="6067425"/>
          <a:ext cx="1114425" cy="2476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CA" sz="1400" b="1">
              <a:solidFill>
                <a:schemeClr val="lt1"/>
              </a:solidFill>
              <a:effectLst/>
              <a:latin typeface="+mn-lt"/>
              <a:ea typeface="+mn-ea"/>
              <a:cs typeface="+mn-cs"/>
            </a:rPr>
            <a:t>Select File:</a:t>
          </a:r>
          <a:endParaRPr lang="en-CA" sz="1400">
            <a:effectLst/>
          </a:endParaRPr>
        </a:p>
      </xdr:txBody>
    </xdr:sp>
    <xdr:clientData/>
  </xdr:twoCellAnchor>
  <xdr:oneCellAnchor>
    <xdr:from>
      <xdr:col>12</xdr:col>
      <xdr:colOff>0</xdr:colOff>
      <xdr:row>1</xdr:row>
      <xdr:rowOff>243417</xdr:rowOff>
    </xdr:from>
    <xdr:ext cx="1121834" cy="264583"/>
    <xdr:sp macro="[0]!SavePDFFolder" textlink="">
      <xdr:nvSpPr>
        <xdr:cNvPr id="4" name="Rectangle 3">
          <a:extLst>
            <a:ext uri="{FF2B5EF4-FFF2-40B4-BE49-F238E27FC236}">
              <a16:creationId xmlns:a16="http://schemas.microsoft.com/office/drawing/2014/main" id="{45AEA00D-83D8-48AF-8D68-3C95A00594C9}"/>
            </a:ext>
          </a:extLst>
        </xdr:cNvPr>
        <xdr:cNvSpPr/>
      </xdr:nvSpPr>
      <xdr:spPr>
        <a:xfrm>
          <a:off x="11948583" y="497417"/>
          <a:ext cx="1121834" cy="2645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CA" sz="1200" b="1"/>
            <a:t>Select Folder:</a:t>
          </a:r>
          <a:endParaRPr lang="en-CA" sz="1400" b="1"/>
        </a:p>
      </xdr:txBody>
    </xdr:sp>
    <xdr:clientData/>
  </xdr:oneCellAnchor>
  <xdr:twoCellAnchor>
    <xdr:from>
      <xdr:col>0</xdr:col>
      <xdr:colOff>0</xdr:colOff>
      <xdr:row>0</xdr:row>
      <xdr:rowOff>1</xdr:rowOff>
    </xdr:from>
    <xdr:to>
      <xdr:col>0</xdr:col>
      <xdr:colOff>829203</xdr:colOff>
      <xdr:row>1</xdr:row>
      <xdr:rowOff>35719</xdr:rowOff>
    </xdr:to>
    <xdr:sp macro="[0]!Clearcells" textlink="">
      <xdr:nvSpPr>
        <xdr:cNvPr id="13" name="Rectangle 12">
          <a:extLst>
            <a:ext uri="{FF2B5EF4-FFF2-40B4-BE49-F238E27FC236}">
              <a16:creationId xmlns:a16="http://schemas.microsoft.com/office/drawing/2014/main" id="{B1ABD375-51E0-45D5-B15B-C7DBECDE5E7B}"/>
            </a:ext>
          </a:extLst>
        </xdr:cNvPr>
        <xdr:cNvSpPr/>
      </xdr:nvSpPr>
      <xdr:spPr>
        <a:xfrm>
          <a:off x="0" y="1"/>
          <a:ext cx="829203" cy="297656"/>
        </a:xfrm>
        <a:prstGeom prst="rect">
          <a:avLst/>
        </a:prstGeom>
        <a:solidFill>
          <a:srgbClr val="FF0000"/>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CA" sz="1800" b="1" i="0" u="none" strike="noStrike" kern="0" cap="none" spc="0" normalizeH="0" baseline="0" noProof="0">
              <a:ln>
                <a:noFill/>
              </a:ln>
              <a:solidFill>
                <a:sysClr val="window" lastClr="FFFFFF"/>
              </a:solidFill>
              <a:effectLst/>
              <a:uLnTx/>
              <a:uFillTx/>
              <a:latin typeface="Calibri" panose="020F0502020204030204"/>
              <a:ea typeface="+mn-ea"/>
              <a:cs typeface="+mn-cs"/>
            </a:rPr>
            <a:t>Clear</a:t>
          </a:r>
          <a:endParaRPr kumimoji="0" lang="en-CA"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oneCellAnchor>
    <xdr:from>
      <xdr:col>16</xdr:col>
      <xdr:colOff>5982040</xdr:colOff>
      <xdr:row>1</xdr:row>
      <xdr:rowOff>6802</xdr:rowOff>
    </xdr:from>
    <xdr:ext cx="1912937" cy="522173"/>
    <xdr:sp macro="[0]!CreatePDFForms" textlink="">
      <xdr:nvSpPr>
        <xdr:cNvPr id="7" name="Rectangle 6">
          <a:extLst>
            <a:ext uri="{FF2B5EF4-FFF2-40B4-BE49-F238E27FC236}">
              <a16:creationId xmlns:a16="http://schemas.microsoft.com/office/drawing/2014/main" id="{930C8CBA-DCEF-401D-88ED-6AFFB2C46947}"/>
            </a:ext>
          </a:extLst>
        </xdr:cNvPr>
        <xdr:cNvSpPr/>
      </xdr:nvSpPr>
      <xdr:spPr>
        <a:xfrm>
          <a:off x="22793665" y="260802"/>
          <a:ext cx="1912937" cy="52217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CA" sz="1800" b="1"/>
            <a:t>Generate PDF</a:t>
          </a:r>
        </a:p>
      </xdr:txBody>
    </xdr:sp>
    <xdr:clientData/>
  </xdr:oneCellAnchor>
  <xdr:twoCellAnchor>
    <xdr:from>
      <xdr:col>16</xdr:col>
      <xdr:colOff>23812</xdr:colOff>
      <xdr:row>1</xdr:row>
      <xdr:rowOff>11907</xdr:rowOff>
    </xdr:from>
    <xdr:to>
      <xdr:col>16</xdr:col>
      <xdr:colOff>1153582</xdr:colOff>
      <xdr:row>2</xdr:row>
      <xdr:rowOff>246630</xdr:rowOff>
    </xdr:to>
    <xdr:sp macro="[0]!Copy_Values" textlink="">
      <xdr:nvSpPr>
        <xdr:cNvPr id="3" name="Rectangle 2">
          <a:extLst>
            <a:ext uri="{FF2B5EF4-FFF2-40B4-BE49-F238E27FC236}">
              <a16:creationId xmlns:a16="http://schemas.microsoft.com/office/drawing/2014/main" id="{68C391DF-313F-49C8-93F7-B5E00A8607E3}"/>
            </a:ext>
          </a:extLst>
        </xdr:cNvPr>
        <xdr:cNvSpPr/>
      </xdr:nvSpPr>
      <xdr:spPr>
        <a:xfrm>
          <a:off x="16775906" y="273845"/>
          <a:ext cx="1129770" cy="4966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a:t>Comment</a:t>
          </a:r>
          <a:endParaRPr lang="en-CA" sz="1100" b="1"/>
        </a:p>
      </xdr:txBody>
    </xdr:sp>
    <xdr:clientData/>
  </xdr:twoCellAnchor>
  <xdr:oneCellAnchor>
    <xdr:from>
      <xdr:col>16</xdr:col>
      <xdr:colOff>2905126</xdr:colOff>
      <xdr:row>1</xdr:row>
      <xdr:rowOff>23812</xdr:rowOff>
    </xdr:from>
    <xdr:ext cx="1216024" cy="488156"/>
    <xdr:sp macro="[0]!separatetext" textlink="">
      <xdr:nvSpPr>
        <xdr:cNvPr id="9" name="Rectangle 8">
          <a:extLst>
            <a:ext uri="{FF2B5EF4-FFF2-40B4-BE49-F238E27FC236}">
              <a16:creationId xmlns:a16="http://schemas.microsoft.com/office/drawing/2014/main" id="{021F75B4-D087-4268-B75D-51F29500F5C2}"/>
            </a:ext>
          </a:extLst>
        </xdr:cNvPr>
        <xdr:cNvSpPr>
          <a:spLocks noChangeAspect="1"/>
        </xdr:cNvSpPr>
      </xdr:nvSpPr>
      <xdr:spPr>
        <a:xfrm>
          <a:off x="19657220" y="285750"/>
          <a:ext cx="1216024" cy="48815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en-CA" sz="2000" b="1"/>
            <a:t>Split Text</a:t>
          </a:r>
          <a:endParaRPr lang="en-CA" sz="1400" b="1"/>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667B8-B4D7-4526-8479-CA3BBA13CD19}">
  <sheetPr codeName="Sheet1"/>
  <dimension ref="A1:AA113"/>
  <sheetViews>
    <sheetView tabSelected="1" zoomScale="80" zoomScaleNormal="80" workbookViewId="0">
      <selection activeCell="A6" sqref="A6"/>
    </sheetView>
  </sheetViews>
  <sheetFormatPr defaultRowHeight="15" x14ac:dyDescent="0.25"/>
  <cols>
    <col min="1" max="1" width="13.28515625" customWidth="1"/>
    <col min="2" max="2" width="15.7109375" customWidth="1"/>
    <col min="3" max="3" width="15.140625" customWidth="1"/>
    <col min="4" max="4" width="12.140625" customWidth="1"/>
    <col min="5" max="5" width="11.5703125" customWidth="1"/>
    <col min="6" max="6" width="7.28515625" customWidth="1"/>
    <col min="7" max="7" width="14.140625" customWidth="1"/>
    <col min="8" max="8" width="21.140625" customWidth="1"/>
    <col min="9" max="9" width="16.5703125" customWidth="1"/>
    <col min="10" max="10" width="16.85546875" customWidth="1"/>
    <col min="11" max="11" width="17.7109375" customWidth="1"/>
    <col min="12" max="12" width="17.5703125" customWidth="1"/>
    <col min="13" max="13" width="16.85546875" customWidth="1"/>
    <col min="14" max="14" width="19.28515625" customWidth="1"/>
    <col min="15" max="15" width="23" customWidth="1"/>
    <col min="16" max="16" width="13.28515625" customWidth="1"/>
    <col min="17" max="17" width="97.85546875" customWidth="1"/>
    <col min="18" max="24" width="1.7109375" customWidth="1"/>
  </cols>
  <sheetData>
    <row r="1" spans="1:27" ht="20.25" customHeight="1" x14ac:dyDescent="0.25">
      <c r="A1" s="26" t="s">
        <v>581</v>
      </c>
      <c r="B1" s="26"/>
      <c r="C1" s="26"/>
      <c r="D1" s="26"/>
      <c r="E1" s="26"/>
      <c r="F1" s="26"/>
      <c r="G1" s="23" t="s">
        <v>46</v>
      </c>
      <c r="H1" s="23"/>
      <c r="I1" s="13"/>
      <c r="J1" s="13"/>
      <c r="K1" s="13"/>
      <c r="L1" s="13"/>
      <c r="M1" s="6"/>
      <c r="N1" s="22"/>
      <c r="O1" s="22"/>
      <c r="P1" s="22"/>
      <c r="Q1" s="22"/>
      <c r="R1" s="22"/>
      <c r="S1" s="22"/>
      <c r="T1" s="22"/>
      <c r="U1" s="22"/>
      <c r="V1" s="22"/>
      <c r="W1" s="22"/>
      <c r="X1" s="22"/>
      <c r="Y1" s="22"/>
      <c r="Z1" s="22"/>
      <c r="AA1" s="22"/>
    </row>
    <row r="2" spans="1:27" ht="20.25" customHeight="1" x14ac:dyDescent="0.25">
      <c r="A2" s="26"/>
      <c r="B2" s="26"/>
      <c r="C2" s="26"/>
      <c r="D2" s="26"/>
      <c r="E2" s="26"/>
      <c r="F2" s="26"/>
      <c r="G2" s="22"/>
      <c r="H2" s="22"/>
      <c r="I2" s="22"/>
      <c r="J2" s="22"/>
      <c r="K2" s="22"/>
      <c r="L2" s="22"/>
      <c r="M2" s="22"/>
      <c r="N2" s="22"/>
      <c r="O2" s="22"/>
      <c r="P2" s="22"/>
      <c r="Q2" s="22"/>
      <c r="R2" s="22"/>
      <c r="S2" s="22"/>
      <c r="T2" s="22"/>
      <c r="U2" s="22"/>
      <c r="V2" s="22"/>
      <c r="W2" s="22"/>
      <c r="X2" s="22"/>
      <c r="Y2" s="22"/>
      <c r="Z2" s="22"/>
      <c r="AA2" s="22"/>
    </row>
    <row r="3" spans="1:27" ht="20.25" customHeight="1" x14ac:dyDescent="0.25">
      <c r="A3" s="26"/>
      <c r="B3" s="26"/>
      <c r="C3" s="26"/>
      <c r="D3" s="26"/>
      <c r="E3" s="26"/>
      <c r="F3" s="26"/>
      <c r="G3" s="23" t="s">
        <v>47</v>
      </c>
      <c r="H3" s="23"/>
      <c r="I3" s="13"/>
      <c r="J3" s="13"/>
      <c r="K3" s="13"/>
      <c r="L3" s="13"/>
      <c r="M3" s="6"/>
      <c r="N3" s="22"/>
      <c r="O3" s="22"/>
      <c r="P3" s="22"/>
      <c r="Q3" s="22"/>
      <c r="R3" s="22"/>
      <c r="S3" s="22"/>
      <c r="T3" s="22"/>
      <c r="U3" s="22"/>
      <c r="V3" s="22"/>
      <c r="W3" s="22"/>
      <c r="X3" s="22"/>
      <c r="Y3" s="22"/>
      <c r="Z3" s="22"/>
      <c r="AA3" s="22"/>
    </row>
    <row r="4" spans="1:27" ht="20.25" customHeight="1" thickBot="1" x14ac:dyDescent="0.3">
      <c r="A4" s="27"/>
      <c r="B4" s="27"/>
      <c r="C4" s="27"/>
      <c r="D4" s="27"/>
      <c r="E4" s="27"/>
      <c r="F4" s="27"/>
      <c r="G4" s="22"/>
      <c r="H4" s="22"/>
      <c r="I4" s="22"/>
      <c r="J4" s="22"/>
      <c r="K4" s="22"/>
      <c r="L4" s="22"/>
      <c r="M4" s="22"/>
      <c r="N4" s="22"/>
      <c r="O4" s="22"/>
      <c r="P4" s="22"/>
      <c r="Q4" s="22"/>
      <c r="R4" s="22"/>
      <c r="S4" s="22"/>
      <c r="T4" s="22"/>
      <c r="U4" s="22"/>
      <c r="V4" s="22"/>
      <c r="W4" s="22"/>
      <c r="X4" s="22"/>
      <c r="Y4" s="22"/>
      <c r="Z4" s="22"/>
      <c r="AA4" s="22"/>
    </row>
    <row r="5" spans="1:27" ht="26.25" thickBot="1" x14ac:dyDescent="0.3">
      <c r="A5" s="19" t="s">
        <v>0</v>
      </c>
      <c r="B5" s="19" t="s">
        <v>1</v>
      </c>
      <c r="C5" s="19" t="s">
        <v>2</v>
      </c>
      <c r="D5" s="19" t="s">
        <v>3</v>
      </c>
      <c r="E5" s="19" t="s">
        <v>4</v>
      </c>
      <c r="F5" s="19" t="s">
        <v>5</v>
      </c>
      <c r="G5" s="19" t="s">
        <v>6</v>
      </c>
      <c r="H5" s="20" t="s">
        <v>40</v>
      </c>
      <c r="I5" s="19" t="s">
        <v>7</v>
      </c>
      <c r="J5" s="19" t="s">
        <v>8</v>
      </c>
      <c r="K5" s="19" t="s">
        <v>9</v>
      </c>
      <c r="L5" s="19" t="s">
        <v>10</v>
      </c>
      <c r="M5" s="19" t="s">
        <v>11</v>
      </c>
      <c r="N5" s="19" t="s">
        <v>12</v>
      </c>
      <c r="O5" s="20" t="s">
        <v>39</v>
      </c>
      <c r="P5" s="19" t="s">
        <v>13</v>
      </c>
      <c r="Q5" s="20" t="s">
        <v>59</v>
      </c>
      <c r="R5" s="24"/>
      <c r="S5" s="25"/>
      <c r="T5" s="25"/>
      <c r="U5" s="25"/>
      <c r="V5" s="25"/>
      <c r="W5" s="25"/>
      <c r="X5" s="25"/>
      <c r="Y5" s="25"/>
      <c r="Z5" s="22"/>
      <c r="AA5" s="22"/>
    </row>
    <row r="6" spans="1:27" x14ac:dyDescent="0.25">
      <c r="I6" s="10"/>
      <c r="J6" s="10"/>
      <c r="Q6" s="11"/>
      <c r="R6" s="10"/>
      <c r="S6" s="10"/>
      <c r="T6" s="10"/>
      <c r="U6" s="10"/>
      <c r="V6" s="10"/>
      <c r="W6" s="10"/>
      <c r="Y6" s="14" t="e">
        <f t="shared" ref="Y6:Y69" ca="1" si="0">SUBSTITUTE(H6&amp;" NAME has excelled "&amp;VLOOKUP("*"&amp;I6&amp;"*",INDIRECT(SUBSTITUTE(G6," ","")&amp;"_Comm",TRUE),1,0)&amp;".; "&amp;J6&amp;"; With further practice, NAME will have the opportunity to improve "&amp;VLOOKUP("*"&amp;K6&amp;"*",INDIRECT(SUBSTITUTE(G6," ","")&amp;"_Comm",TRUE),1,0)&amp;".; "&amp;L6&amp;"; NAME has also excelled "&amp;VLOOKUP("*"&amp;M6&amp;"*",INDIRECT(SUBSTITUTE(G6," ","")&amp;"_Comm",TRUE),1,0)&amp;".; "&amp;N6&amp;""&amp;"; "&amp;O6,"NAME",A6)</f>
        <v>#REF!</v>
      </c>
      <c r="Z6" s="22"/>
      <c r="AA6" s="22"/>
    </row>
    <row r="7" spans="1:27" x14ac:dyDescent="0.25">
      <c r="I7" s="10"/>
      <c r="J7" s="10"/>
      <c r="Q7" s="11"/>
      <c r="R7" s="17"/>
      <c r="S7" s="17"/>
      <c r="T7" s="17"/>
      <c r="U7" s="17"/>
      <c r="V7" s="17"/>
      <c r="Y7" s="14" t="e">
        <f t="shared" ca="1" si="0"/>
        <v>#REF!</v>
      </c>
      <c r="Z7" s="22"/>
      <c r="AA7" s="22"/>
    </row>
    <row r="8" spans="1:27" x14ac:dyDescent="0.25">
      <c r="I8" s="10"/>
      <c r="J8" s="10"/>
      <c r="Q8" s="11"/>
      <c r="R8" s="17"/>
      <c r="S8" s="17"/>
      <c r="T8" s="17"/>
      <c r="U8" s="17"/>
      <c r="V8" s="17"/>
      <c r="Y8" s="14" t="e">
        <f t="shared" ca="1" si="0"/>
        <v>#REF!</v>
      </c>
      <c r="Z8" s="22"/>
      <c r="AA8" s="22"/>
    </row>
    <row r="9" spans="1:27" x14ac:dyDescent="0.25">
      <c r="I9" s="10"/>
      <c r="J9" s="10"/>
      <c r="Q9" s="11"/>
      <c r="R9" s="17"/>
      <c r="S9" s="17"/>
      <c r="T9" s="17"/>
      <c r="U9" s="17"/>
      <c r="V9" s="17"/>
      <c r="Y9" s="14" t="e">
        <f t="shared" ca="1" si="0"/>
        <v>#REF!</v>
      </c>
      <c r="Z9" s="22"/>
      <c r="AA9" s="22"/>
    </row>
    <row r="10" spans="1:27" x14ac:dyDescent="0.25">
      <c r="I10" s="10"/>
      <c r="J10" s="10"/>
      <c r="Q10" s="11"/>
      <c r="R10" s="17"/>
      <c r="S10" s="17"/>
      <c r="T10" s="17"/>
      <c r="U10" s="17"/>
      <c r="V10" s="17"/>
      <c r="Y10" s="14" t="e">
        <f t="shared" ca="1" si="0"/>
        <v>#REF!</v>
      </c>
      <c r="Z10" s="22"/>
      <c r="AA10" s="22"/>
    </row>
    <row r="11" spans="1:27" x14ac:dyDescent="0.25">
      <c r="I11" s="10"/>
      <c r="J11" s="10"/>
      <c r="Q11" s="11"/>
      <c r="R11" s="17"/>
      <c r="S11" s="17"/>
      <c r="T11" s="17"/>
      <c r="U11" s="17"/>
      <c r="V11" s="17"/>
      <c r="Y11" s="14" t="e">
        <f t="shared" ca="1" si="0"/>
        <v>#REF!</v>
      </c>
      <c r="Z11" s="22"/>
      <c r="AA11" s="22"/>
    </row>
    <row r="12" spans="1:27" x14ac:dyDescent="0.25">
      <c r="I12" s="10"/>
      <c r="J12" s="10"/>
      <c r="Q12" s="11"/>
      <c r="R12" s="17"/>
      <c r="S12" s="17"/>
      <c r="T12" s="17"/>
      <c r="U12" s="17"/>
      <c r="V12" s="17"/>
      <c r="Y12" s="14" t="e">
        <f t="shared" ca="1" si="0"/>
        <v>#REF!</v>
      </c>
      <c r="Z12" s="22"/>
      <c r="AA12" s="22"/>
    </row>
    <row r="13" spans="1:27" x14ac:dyDescent="0.25">
      <c r="I13" s="10"/>
      <c r="J13" s="10"/>
      <c r="Q13" s="11"/>
      <c r="R13" s="17"/>
      <c r="S13" s="17"/>
      <c r="T13" s="17"/>
      <c r="U13" s="17"/>
      <c r="V13" s="17"/>
      <c r="Y13" s="14" t="e">
        <f t="shared" ca="1" si="0"/>
        <v>#REF!</v>
      </c>
      <c r="Z13" s="22"/>
      <c r="AA13" s="22"/>
    </row>
    <row r="14" spans="1:27" x14ac:dyDescent="0.25">
      <c r="I14" s="10"/>
      <c r="J14" s="10"/>
      <c r="Q14" s="11"/>
      <c r="R14" s="17"/>
      <c r="S14" s="17"/>
      <c r="T14" s="17"/>
      <c r="U14" s="17"/>
      <c r="V14" s="17"/>
      <c r="Y14" s="14" t="e">
        <f t="shared" ca="1" si="0"/>
        <v>#REF!</v>
      </c>
      <c r="Z14" s="22"/>
      <c r="AA14" s="22"/>
    </row>
    <row r="15" spans="1:27" x14ac:dyDescent="0.25">
      <c r="I15" s="10"/>
      <c r="J15" s="10"/>
      <c r="Q15" s="11"/>
      <c r="R15" s="17"/>
      <c r="S15" s="17"/>
      <c r="T15" s="17"/>
      <c r="U15" s="17"/>
      <c r="V15" s="17"/>
      <c r="Y15" s="14" t="e">
        <f t="shared" ca="1" si="0"/>
        <v>#REF!</v>
      </c>
      <c r="Z15" s="22"/>
      <c r="AA15" s="22"/>
    </row>
    <row r="16" spans="1:27" x14ac:dyDescent="0.25">
      <c r="I16" s="10"/>
      <c r="J16" s="10"/>
      <c r="Q16" s="11"/>
      <c r="R16" s="17"/>
      <c r="S16" s="17"/>
      <c r="T16" s="17"/>
      <c r="U16" s="17"/>
      <c r="V16" s="17"/>
      <c r="Y16" s="14" t="e">
        <f t="shared" ca="1" si="0"/>
        <v>#REF!</v>
      </c>
      <c r="Z16" s="22"/>
      <c r="AA16" s="22"/>
    </row>
    <row r="17" spans="1:27" x14ac:dyDescent="0.25">
      <c r="I17" s="10"/>
      <c r="J17" s="10"/>
      <c r="Q17" s="11"/>
      <c r="R17" s="17"/>
      <c r="S17" s="17"/>
      <c r="T17" s="17"/>
      <c r="U17" s="17"/>
      <c r="V17" s="17"/>
      <c r="Y17" s="14" t="e">
        <f t="shared" ca="1" si="0"/>
        <v>#REF!</v>
      </c>
      <c r="Z17" s="22"/>
      <c r="AA17" s="22"/>
    </row>
    <row r="18" spans="1:27" x14ac:dyDescent="0.25">
      <c r="I18" s="10"/>
      <c r="J18" s="10"/>
      <c r="Q18" s="11"/>
      <c r="R18" s="17"/>
      <c r="S18" s="17"/>
      <c r="T18" s="17"/>
      <c r="U18" s="17"/>
      <c r="V18" s="17"/>
      <c r="Y18" s="14" t="e">
        <f t="shared" ca="1" si="0"/>
        <v>#REF!</v>
      </c>
      <c r="Z18" s="22"/>
      <c r="AA18" s="22"/>
    </row>
    <row r="19" spans="1:27" x14ac:dyDescent="0.25">
      <c r="I19" s="10"/>
      <c r="J19" s="10"/>
      <c r="Q19" s="11"/>
      <c r="R19" s="17"/>
      <c r="S19" s="17"/>
      <c r="T19" s="17"/>
      <c r="U19" s="17"/>
      <c r="V19" s="17"/>
      <c r="Y19" s="14" t="e">
        <f t="shared" ca="1" si="0"/>
        <v>#REF!</v>
      </c>
      <c r="Z19" s="22"/>
      <c r="AA19" s="22"/>
    </row>
    <row r="20" spans="1:27" x14ac:dyDescent="0.25">
      <c r="I20" s="10"/>
      <c r="J20" s="10"/>
      <c r="Q20" s="11"/>
      <c r="R20" s="17"/>
      <c r="S20" s="17"/>
      <c r="T20" s="17"/>
      <c r="U20" s="17"/>
      <c r="V20" s="17"/>
      <c r="Y20" s="14" t="e">
        <f t="shared" ca="1" si="0"/>
        <v>#REF!</v>
      </c>
      <c r="Z20" s="22"/>
      <c r="AA20" s="22"/>
    </row>
    <row r="21" spans="1:27" x14ac:dyDescent="0.25">
      <c r="I21" s="10"/>
      <c r="J21" s="10"/>
      <c r="Q21" s="11"/>
      <c r="R21" s="17"/>
      <c r="S21" s="17"/>
      <c r="T21" s="17"/>
      <c r="U21" s="17"/>
      <c r="V21" s="17"/>
      <c r="Y21" s="14" t="e">
        <f t="shared" ca="1" si="0"/>
        <v>#REF!</v>
      </c>
      <c r="Z21" s="22"/>
      <c r="AA21" s="22"/>
    </row>
    <row r="22" spans="1:27" x14ac:dyDescent="0.25">
      <c r="I22" s="10"/>
      <c r="J22" s="10"/>
      <c r="Q22" s="11"/>
      <c r="R22" s="17"/>
      <c r="S22" s="17"/>
      <c r="T22" s="17"/>
      <c r="U22" s="17"/>
      <c r="V22" s="17"/>
      <c r="Y22" s="14" t="e">
        <f t="shared" ca="1" si="0"/>
        <v>#REF!</v>
      </c>
      <c r="Z22" s="22"/>
      <c r="AA22" s="22"/>
    </row>
    <row r="23" spans="1:27" x14ac:dyDescent="0.25">
      <c r="I23" s="10"/>
      <c r="J23" s="10"/>
      <c r="Q23" s="11"/>
      <c r="R23" s="17"/>
      <c r="S23" s="17"/>
      <c r="T23" s="17"/>
      <c r="U23" s="17"/>
      <c r="V23" s="17"/>
      <c r="Y23" s="14" t="e">
        <f t="shared" ca="1" si="0"/>
        <v>#REF!</v>
      </c>
      <c r="Z23" s="22"/>
      <c r="AA23" s="22"/>
    </row>
    <row r="24" spans="1:27" x14ac:dyDescent="0.25">
      <c r="I24" s="10"/>
      <c r="J24" s="10"/>
      <c r="Q24" s="11"/>
      <c r="R24" s="17"/>
      <c r="S24" s="17"/>
      <c r="T24" s="17"/>
      <c r="U24" s="17"/>
      <c r="V24" s="17"/>
      <c r="Y24" s="14" t="e">
        <f t="shared" ca="1" si="0"/>
        <v>#REF!</v>
      </c>
      <c r="Z24" s="22"/>
      <c r="AA24" s="22"/>
    </row>
    <row r="25" spans="1:27" x14ac:dyDescent="0.25">
      <c r="I25" s="10"/>
      <c r="J25" s="10"/>
      <c r="Q25" s="11"/>
      <c r="R25" s="17"/>
      <c r="S25" s="17"/>
      <c r="T25" s="17"/>
      <c r="U25" s="17"/>
      <c r="V25" s="17"/>
      <c r="Y25" s="14" t="e">
        <f t="shared" ca="1" si="0"/>
        <v>#REF!</v>
      </c>
      <c r="Z25" s="22"/>
      <c r="AA25" s="22"/>
    </row>
    <row r="26" spans="1:27" x14ac:dyDescent="0.25">
      <c r="I26" s="10"/>
      <c r="J26" s="10"/>
      <c r="Q26" s="11"/>
      <c r="R26" s="17"/>
      <c r="S26" s="17"/>
      <c r="T26" s="17"/>
      <c r="U26" s="17"/>
      <c r="V26" s="17"/>
      <c r="Y26" s="14" t="e">
        <f t="shared" ca="1" si="0"/>
        <v>#REF!</v>
      </c>
      <c r="Z26" s="22"/>
      <c r="AA26" s="22"/>
    </row>
    <row r="27" spans="1:27" x14ac:dyDescent="0.25">
      <c r="I27" s="10"/>
      <c r="J27" s="10"/>
      <c r="Q27" s="11"/>
      <c r="R27" s="17"/>
      <c r="S27" s="17"/>
      <c r="T27" s="17"/>
      <c r="U27" s="17"/>
      <c r="V27" s="17"/>
      <c r="Y27" s="14" t="e">
        <f t="shared" ca="1" si="0"/>
        <v>#REF!</v>
      </c>
      <c r="Z27" s="22"/>
      <c r="AA27" s="22"/>
    </row>
    <row r="28" spans="1:27" x14ac:dyDescent="0.25">
      <c r="I28" s="10"/>
      <c r="J28" s="10"/>
      <c r="Q28" s="11"/>
      <c r="R28" s="17"/>
      <c r="S28" s="17"/>
      <c r="T28" s="17"/>
      <c r="U28" s="17"/>
      <c r="V28" s="17"/>
      <c r="Y28" s="14" t="e">
        <f t="shared" ca="1" si="0"/>
        <v>#REF!</v>
      </c>
      <c r="Z28" s="22"/>
      <c r="AA28" s="22"/>
    </row>
    <row r="29" spans="1:27" x14ac:dyDescent="0.25">
      <c r="I29" s="10"/>
      <c r="J29" s="10"/>
      <c r="Q29" s="11"/>
      <c r="R29" s="17"/>
      <c r="S29" s="17"/>
      <c r="T29" s="17"/>
      <c r="U29" s="17"/>
      <c r="V29" s="17"/>
      <c r="Y29" s="14" t="e">
        <f t="shared" ca="1" si="0"/>
        <v>#REF!</v>
      </c>
      <c r="Z29" s="22"/>
      <c r="AA29" s="22"/>
    </row>
    <row r="30" spans="1:27" s="18" customFormat="1" x14ac:dyDescent="0.25">
      <c r="A30" s="21"/>
      <c r="B30" s="21"/>
      <c r="C30" s="21"/>
      <c r="D30"/>
      <c r="E30"/>
      <c r="F30"/>
      <c r="G30"/>
      <c r="H30"/>
      <c r="I30" s="10"/>
      <c r="J30" s="10"/>
      <c r="K30"/>
      <c r="L30"/>
      <c r="M30"/>
      <c r="N30"/>
      <c r="O30"/>
      <c r="P30"/>
      <c r="Q30" s="7"/>
      <c r="Y30" s="14" t="e">
        <f t="shared" ca="1" si="0"/>
        <v>#REF!</v>
      </c>
      <c r="Z30" s="22"/>
      <c r="AA30" s="22"/>
    </row>
    <row r="31" spans="1:27" s="6" customFormat="1" x14ac:dyDescent="0.25">
      <c r="D31"/>
      <c r="E31"/>
      <c r="F31"/>
      <c r="G31"/>
      <c r="H31"/>
      <c r="I31" s="10"/>
      <c r="J31" s="10"/>
      <c r="K31"/>
      <c r="L31"/>
      <c r="M31"/>
      <c r="N31"/>
      <c r="O31"/>
      <c r="P31"/>
      <c r="Q31" s="11"/>
      <c r="Y31" s="14" t="e">
        <f t="shared" ca="1" si="0"/>
        <v>#REF!</v>
      </c>
      <c r="Z31" s="22"/>
      <c r="AA31" s="22"/>
    </row>
    <row r="32" spans="1:27" s="6" customFormat="1" ht="15" customHeight="1" x14ac:dyDescent="0.25">
      <c r="D32"/>
      <c r="E32"/>
      <c r="F32"/>
      <c r="G32"/>
      <c r="H32"/>
      <c r="I32" s="10"/>
      <c r="J32" s="10"/>
      <c r="K32"/>
      <c r="L32"/>
      <c r="M32"/>
      <c r="N32"/>
      <c r="O32"/>
      <c r="P32"/>
      <c r="Q32" s="15"/>
      <c r="Y32" s="14" t="e">
        <f t="shared" ca="1" si="0"/>
        <v>#REF!</v>
      </c>
      <c r="Z32" s="22"/>
      <c r="AA32" s="22"/>
    </row>
    <row r="33" spans="4:27" s="6" customFormat="1" x14ac:dyDescent="0.25">
      <c r="D33"/>
      <c r="E33"/>
      <c r="F33"/>
      <c r="G33"/>
      <c r="H33"/>
      <c r="I33" s="10"/>
      <c r="J33" s="10"/>
      <c r="K33"/>
      <c r="L33"/>
      <c r="M33"/>
      <c r="N33"/>
      <c r="O33"/>
      <c r="P33"/>
      <c r="Q33" s="15"/>
      <c r="Y33" s="14" t="e">
        <f t="shared" ca="1" si="0"/>
        <v>#REF!</v>
      </c>
      <c r="Z33" s="22"/>
      <c r="AA33" s="22"/>
    </row>
    <row r="34" spans="4:27" s="6" customFormat="1" ht="15" customHeight="1" x14ac:dyDescent="0.25">
      <c r="D34"/>
      <c r="E34"/>
      <c r="F34"/>
      <c r="G34"/>
      <c r="H34"/>
      <c r="I34" s="10"/>
      <c r="J34" s="10"/>
      <c r="K34"/>
      <c r="L34"/>
      <c r="M34"/>
      <c r="N34"/>
      <c r="O34"/>
      <c r="P34"/>
      <c r="Q34" s="15"/>
      <c r="Y34" s="14" t="e">
        <f t="shared" ca="1" si="0"/>
        <v>#REF!</v>
      </c>
      <c r="Z34" s="22"/>
      <c r="AA34" s="22"/>
    </row>
    <row r="35" spans="4:27" s="6" customFormat="1" x14ac:dyDescent="0.25">
      <c r="D35"/>
      <c r="E35"/>
      <c r="F35"/>
      <c r="G35"/>
      <c r="H35"/>
      <c r="I35" s="10"/>
      <c r="J35" s="10"/>
      <c r="K35"/>
      <c r="L35"/>
      <c r="M35"/>
      <c r="N35"/>
      <c r="O35"/>
      <c r="P35"/>
      <c r="Q35" s="15"/>
      <c r="Y35" s="14" t="e">
        <f t="shared" ca="1" si="0"/>
        <v>#REF!</v>
      </c>
      <c r="Z35" s="22"/>
      <c r="AA35" s="22"/>
    </row>
    <row r="36" spans="4:27" x14ac:dyDescent="0.25">
      <c r="I36" s="10"/>
      <c r="J36" s="10"/>
      <c r="Q36" s="15"/>
      <c r="T36" s="6"/>
      <c r="U36" s="6"/>
      <c r="V36" s="6"/>
      <c r="W36" s="6"/>
      <c r="X36" s="6"/>
      <c r="Y36" s="14" t="e">
        <f t="shared" ca="1" si="0"/>
        <v>#REF!</v>
      </c>
      <c r="Z36" s="22"/>
      <c r="AA36" s="22"/>
    </row>
    <row r="37" spans="4:27" x14ac:dyDescent="0.25">
      <c r="I37" s="10"/>
      <c r="J37" s="10"/>
      <c r="Q37" s="15"/>
      <c r="T37" s="6"/>
      <c r="U37" s="6"/>
      <c r="V37" s="6"/>
      <c r="W37" s="6"/>
      <c r="X37" s="6"/>
      <c r="Y37" s="14" t="e">
        <f t="shared" ca="1" si="0"/>
        <v>#REF!</v>
      </c>
      <c r="Z37" s="22"/>
      <c r="AA37" s="22"/>
    </row>
    <row r="38" spans="4:27" x14ac:dyDescent="0.25">
      <c r="I38" s="10"/>
      <c r="J38" s="10"/>
      <c r="Q38" s="15"/>
      <c r="Y38" s="14" t="e">
        <f t="shared" ca="1" si="0"/>
        <v>#REF!</v>
      </c>
      <c r="Z38" s="22"/>
      <c r="AA38" s="22"/>
    </row>
    <row r="39" spans="4:27" x14ac:dyDescent="0.25">
      <c r="I39" s="10"/>
      <c r="J39" s="10"/>
      <c r="Y39" s="14" t="e">
        <f t="shared" ca="1" si="0"/>
        <v>#REF!</v>
      </c>
      <c r="Z39" s="22"/>
      <c r="AA39" s="22"/>
    </row>
    <row r="40" spans="4:27" x14ac:dyDescent="0.25">
      <c r="I40" s="10"/>
      <c r="J40" s="10"/>
      <c r="Y40" s="14" t="e">
        <f t="shared" ca="1" si="0"/>
        <v>#REF!</v>
      </c>
      <c r="Z40" s="22"/>
      <c r="AA40" s="22"/>
    </row>
    <row r="41" spans="4:27" x14ac:dyDescent="0.25">
      <c r="I41" s="10"/>
      <c r="J41" s="10"/>
      <c r="Y41" s="14" t="e">
        <f t="shared" ca="1" si="0"/>
        <v>#REF!</v>
      </c>
      <c r="Z41" s="22"/>
      <c r="AA41" s="22"/>
    </row>
    <row r="42" spans="4:27" x14ac:dyDescent="0.25">
      <c r="I42" s="10"/>
      <c r="J42" s="10"/>
      <c r="Y42" s="14" t="e">
        <f t="shared" ca="1" si="0"/>
        <v>#REF!</v>
      </c>
      <c r="Z42" s="22"/>
      <c r="AA42" s="22"/>
    </row>
    <row r="43" spans="4:27" x14ac:dyDescent="0.25">
      <c r="I43" s="10"/>
      <c r="J43" s="10"/>
      <c r="Y43" s="14" t="e">
        <f t="shared" ca="1" si="0"/>
        <v>#REF!</v>
      </c>
      <c r="Z43" s="22"/>
      <c r="AA43" s="22"/>
    </row>
    <row r="44" spans="4:27" x14ac:dyDescent="0.25">
      <c r="I44" s="10"/>
      <c r="J44" s="10"/>
      <c r="Y44" s="14" t="e">
        <f t="shared" ca="1" si="0"/>
        <v>#REF!</v>
      </c>
      <c r="Z44" s="22"/>
      <c r="AA44" s="22"/>
    </row>
    <row r="45" spans="4:27" x14ac:dyDescent="0.25">
      <c r="I45" s="10"/>
      <c r="J45" s="10"/>
      <c r="Y45" s="14" t="e">
        <f t="shared" ca="1" si="0"/>
        <v>#REF!</v>
      </c>
      <c r="Z45" s="22"/>
      <c r="AA45" s="22"/>
    </row>
    <row r="46" spans="4:27" x14ac:dyDescent="0.25">
      <c r="I46" s="10"/>
      <c r="J46" s="10"/>
      <c r="Y46" s="14" t="e">
        <f t="shared" ca="1" si="0"/>
        <v>#REF!</v>
      </c>
      <c r="Z46" s="22"/>
      <c r="AA46" s="22"/>
    </row>
    <row r="47" spans="4:27" x14ac:dyDescent="0.25">
      <c r="I47" s="10"/>
      <c r="J47" s="10"/>
      <c r="Y47" s="14" t="e">
        <f t="shared" ca="1" si="0"/>
        <v>#REF!</v>
      </c>
      <c r="Z47" s="22"/>
      <c r="AA47" s="22"/>
    </row>
    <row r="48" spans="4:27" x14ac:dyDescent="0.25">
      <c r="I48" s="10"/>
      <c r="J48" s="10"/>
      <c r="Y48" s="14" t="e">
        <f t="shared" ca="1" si="0"/>
        <v>#REF!</v>
      </c>
      <c r="Z48" s="22"/>
      <c r="AA48" s="22"/>
    </row>
    <row r="49" spans="9:27" x14ac:dyDescent="0.25">
      <c r="I49" s="10"/>
      <c r="J49" s="10"/>
      <c r="Y49" s="14" t="e">
        <f t="shared" ca="1" si="0"/>
        <v>#REF!</v>
      </c>
      <c r="Z49" s="22"/>
      <c r="AA49" s="22"/>
    </row>
    <row r="50" spans="9:27" x14ac:dyDescent="0.25">
      <c r="I50" s="10"/>
      <c r="J50" s="10"/>
      <c r="Y50" s="14" t="e">
        <f t="shared" ca="1" si="0"/>
        <v>#REF!</v>
      </c>
      <c r="Z50" s="22"/>
      <c r="AA50" s="22"/>
    </row>
    <row r="51" spans="9:27" x14ac:dyDescent="0.25">
      <c r="I51" s="10"/>
      <c r="J51" s="10"/>
      <c r="Y51" s="14" t="e">
        <f t="shared" ca="1" si="0"/>
        <v>#REF!</v>
      </c>
      <c r="Z51" s="22"/>
      <c r="AA51" s="22"/>
    </row>
    <row r="52" spans="9:27" x14ac:dyDescent="0.25">
      <c r="I52" s="10"/>
      <c r="J52" s="10"/>
      <c r="Y52" s="14" t="e">
        <f t="shared" ca="1" si="0"/>
        <v>#REF!</v>
      </c>
      <c r="Z52" s="22"/>
      <c r="AA52" s="22"/>
    </row>
    <row r="53" spans="9:27" x14ac:dyDescent="0.25">
      <c r="I53" s="10"/>
      <c r="J53" s="10"/>
      <c r="Y53" s="14" t="e">
        <f t="shared" ca="1" si="0"/>
        <v>#REF!</v>
      </c>
      <c r="Z53" s="22"/>
      <c r="AA53" s="22"/>
    </row>
    <row r="54" spans="9:27" x14ac:dyDescent="0.25">
      <c r="I54" s="10"/>
      <c r="J54" s="10"/>
      <c r="Y54" s="14" t="e">
        <f t="shared" ca="1" si="0"/>
        <v>#REF!</v>
      </c>
      <c r="Z54" s="22"/>
      <c r="AA54" s="22"/>
    </row>
    <row r="55" spans="9:27" x14ac:dyDescent="0.25">
      <c r="I55" s="10"/>
      <c r="J55" s="10"/>
      <c r="Y55" s="14" t="e">
        <f t="shared" ca="1" si="0"/>
        <v>#REF!</v>
      </c>
      <c r="Z55" s="22"/>
      <c r="AA55" s="22"/>
    </row>
    <row r="56" spans="9:27" x14ac:dyDescent="0.25">
      <c r="I56" s="10"/>
      <c r="J56" s="10"/>
      <c r="Y56" s="14" t="e">
        <f t="shared" ca="1" si="0"/>
        <v>#REF!</v>
      </c>
      <c r="Z56" s="22"/>
      <c r="AA56" s="22"/>
    </row>
    <row r="57" spans="9:27" x14ac:dyDescent="0.25">
      <c r="I57" s="10"/>
      <c r="J57" s="10"/>
      <c r="Y57" s="14" t="e">
        <f t="shared" ca="1" si="0"/>
        <v>#REF!</v>
      </c>
      <c r="Z57" s="22"/>
      <c r="AA57" s="22"/>
    </row>
    <row r="58" spans="9:27" x14ac:dyDescent="0.25">
      <c r="I58" s="10"/>
      <c r="J58" s="10"/>
      <c r="Y58" s="14" t="e">
        <f t="shared" ca="1" si="0"/>
        <v>#REF!</v>
      </c>
      <c r="Z58" s="22"/>
      <c r="AA58" s="22"/>
    </row>
    <row r="59" spans="9:27" x14ac:dyDescent="0.25">
      <c r="I59" s="10"/>
      <c r="J59" s="10"/>
      <c r="Y59" s="14" t="e">
        <f t="shared" ca="1" si="0"/>
        <v>#REF!</v>
      </c>
      <c r="Z59" s="22"/>
      <c r="AA59" s="22"/>
    </row>
    <row r="60" spans="9:27" x14ac:dyDescent="0.25">
      <c r="I60" s="10"/>
      <c r="J60" s="10"/>
      <c r="Y60" s="14" t="e">
        <f t="shared" ca="1" si="0"/>
        <v>#REF!</v>
      </c>
      <c r="Z60" s="22"/>
      <c r="AA60" s="22"/>
    </row>
    <row r="61" spans="9:27" x14ac:dyDescent="0.25">
      <c r="I61" s="10"/>
      <c r="J61" s="10"/>
      <c r="Y61" s="14" t="e">
        <f t="shared" ca="1" si="0"/>
        <v>#REF!</v>
      </c>
      <c r="Z61" s="22"/>
      <c r="AA61" s="22"/>
    </row>
    <row r="62" spans="9:27" x14ac:dyDescent="0.25">
      <c r="I62" s="10"/>
      <c r="J62" s="10"/>
      <c r="Y62" s="14" t="e">
        <f t="shared" ca="1" si="0"/>
        <v>#REF!</v>
      </c>
      <c r="Z62" s="22"/>
      <c r="AA62" s="22"/>
    </row>
    <row r="63" spans="9:27" x14ac:dyDescent="0.25">
      <c r="I63" s="10"/>
      <c r="J63" s="10"/>
      <c r="Y63" s="14" t="e">
        <f t="shared" ca="1" si="0"/>
        <v>#REF!</v>
      </c>
      <c r="Z63" s="22"/>
      <c r="AA63" s="22"/>
    </row>
    <row r="64" spans="9:27" x14ac:dyDescent="0.25">
      <c r="I64" s="10"/>
      <c r="J64" s="10"/>
      <c r="Y64" s="14" t="e">
        <f t="shared" ca="1" si="0"/>
        <v>#REF!</v>
      </c>
      <c r="Z64" s="22"/>
      <c r="AA64" s="22"/>
    </row>
    <row r="65" spans="9:27" x14ac:dyDescent="0.25">
      <c r="I65" s="10"/>
      <c r="J65" s="10"/>
      <c r="Y65" s="14" t="e">
        <f t="shared" ca="1" si="0"/>
        <v>#REF!</v>
      </c>
      <c r="Z65" s="22"/>
      <c r="AA65" s="22"/>
    </row>
    <row r="66" spans="9:27" x14ac:dyDescent="0.25">
      <c r="I66" s="10"/>
      <c r="J66" s="10"/>
      <c r="Y66" s="14" t="e">
        <f t="shared" ca="1" si="0"/>
        <v>#REF!</v>
      </c>
      <c r="Z66" s="22"/>
      <c r="AA66" s="22"/>
    </row>
    <row r="67" spans="9:27" x14ac:dyDescent="0.25">
      <c r="I67" s="10"/>
      <c r="J67" s="10"/>
      <c r="Y67" s="14" t="e">
        <f t="shared" ca="1" si="0"/>
        <v>#REF!</v>
      </c>
      <c r="Z67" s="22"/>
      <c r="AA67" s="22"/>
    </row>
    <row r="68" spans="9:27" x14ac:dyDescent="0.25">
      <c r="I68" s="10"/>
      <c r="J68" s="10"/>
      <c r="Y68" s="14" t="e">
        <f t="shared" ca="1" si="0"/>
        <v>#REF!</v>
      </c>
      <c r="Z68" s="22"/>
      <c r="AA68" s="22"/>
    </row>
    <row r="69" spans="9:27" x14ac:dyDescent="0.25">
      <c r="I69" s="10"/>
      <c r="J69" s="10"/>
      <c r="Y69" s="14" t="e">
        <f t="shared" ca="1" si="0"/>
        <v>#REF!</v>
      </c>
      <c r="Z69" s="22"/>
      <c r="AA69" s="22"/>
    </row>
    <row r="70" spans="9:27" x14ac:dyDescent="0.25">
      <c r="I70" s="10"/>
      <c r="J70" s="10"/>
      <c r="Y70" s="14" t="e">
        <f t="shared" ref="Y70:Y113" ca="1" si="1">SUBSTITUTE(H70&amp;" NAME has excelled "&amp;VLOOKUP("*"&amp;I70&amp;"*",INDIRECT(SUBSTITUTE(G70," ","")&amp;"_Comm",TRUE),1,0)&amp;".; "&amp;J70&amp;"; With further practice, NAME will have the opportunity to improve "&amp;VLOOKUP("*"&amp;K70&amp;"*",INDIRECT(SUBSTITUTE(G70," ","")&amp;"_Comm",TRUE),1,0)&amp;".; "&amp;L70&amp;"; NAME has also excelled "&amp;VLOOKUP("*"&amp;M70&amp;"*",INDIRECT(SUBSTITUTE(G70," ","")&amp;"_Comm",TRUE),1,0)&amp;".; "&amp;N70&amp;""&amp;"; "&amp;O70,"NAME",A70)</f>
        <v>#REF!</v>
      </c>
      <c r="Z70" s="22"/>
      <c r="AA70" s="22"/>
    </row>
    <row r="71" spans="9:27" x14ac:dyDescent="0.25">
      <c r="I71" s="10"/>
      <c r="J71" s="10"/>
      <c r="Y71" s="14" t="e">
        <f t="shared" ca="1" si="1"/>
        <v>#REF!</v>
      </c>
      <c r="Z71" s="22"/>
      <c r="AA71" s="22"/>
    </row>
    <row r="72" spans="9:27" x14ac:dyDescent="0.25">
      <c r="I72" s="10"/>
      <c r="J72" s="10"/>
      <c r="Y72" s="14" t="e">
        <f t="shared" ca="1" si="1"/>
        <v>#REF!</v>
      </c>
      <c r="Z72" s="22"/>
      <c r="AA72" s="22"/>
    </row>
    <row r="73" spans="9:27" x14ac:dyDescent="0.25">
      <c r="I73" s="10"/>
      <c r="J73" s="10"/>
      <c r="Y73" s="14" t="e">
        <f t="shared" ca="1" si="1"/>
        <v>#REF!</v>
      </c>
      <c r="Z73" s="22"/>
      <c r="AA73" s="22"/>
    </row>
    <row r="74" spans="9:27" x14ac:dyDescent="0.25">
      <c r="I74" s="10"/>
      <c r="J74" s="10"/>
      <c r="Y74" s="14" t="e">
        <f t="shared" ca="1" si="1"/>
        <v>#REF!</v>
      </c>
      <c r="Z74" s="22"/>
      <c r="AA74" s="22"/>
    </row>
    <row r="75" spans="9:27" x14ac:dyDescent="0.25">
      <c r="I75" s="10"/>
      <c r="J75" s="10"/>
      <c r="Y75" s="14" t="e">
        <f t="shared" ca="1" si="1"/>
        <v>#REF!</v>
      </c>
      <c r="Z75" s="22"/>
      <c r="AA75" s="22"/>
    </row>
    <row r="76" spans="9:27" x14ac:dyDescent="0.25">
      <c r="I76" s="10"/>
      <c r="J76" s="10"/>
      <c r="Y76" s="14" t="e">
        <f t="shared" ca="1" si="1"/>
        <v>#REF!</v>
      </c>
      <c r="Z76" s="22"/>
      <c r="AA76" s="22"/>
    </row>
    <row r="77" spans="9:27" x14ac:dyDescent="0.25">
      <c r="I77" s="10"/>
      <c r="J77" s="10"/>
      <c r="Y77" s="14" t="e">
        <f t="shared" ca="1" si="1"/>
        <v>#REF!</v>
      </c>
      <c r="Z77" s="22"/>
      <c r="AA77" s="22"/>
    </row>
    <row r="78" spans="9:27" x14ac:dyDescent="0.25">
      <c r="I78" s="10"/>
      <c r="J78" s="10"/>
      <c r="Y78" s="14" t="e">
        <f t="shared" ca="1" si="1"/>
        <v>#REF!</v>
      </c>
      <c r="Z78" s="22"/>
      <c r="AA78" s="22"/>
    </row>
    <row r="79" spans="9:27" x14ac:dyDescent="0.25">
      <c r="I79" s="10"/>
      <c r="J79" s="10"/>
      <c r="Y79" s="14" t="e">
        <f t="shared" ca="1" si="1"/>
        <v>#REF!</v>
      </c>
      <c r="Z79" s="22"/>
      <c r="AA79" s="22"/>
    </row>
    <row r="80" spans="9:27" x14ac:dyDescent="0.25">
      <c r="I80" s="10"/>
      <c r="J80" s="10"/>
      <c r="Y80" s="14" t="e">
        <f t="shared" ca="1" si="1"/>
        <v>#REF!</v>
      </c>
      <c r="Z80" s="22"/>
      <c r="AA80" s="22"/>
    </row>
    <row r="81" spans="9:27" x14ac:dyDescent="0.25">
      <c r="I81" s="10"/>
      <c r="J81" s="10"/>
      <c r="Y81" s="14" t="e">
        <f t="shared" ca="1" si="1"/>
        <v>#REF!</v>
      </c>
      <c r="Z81" s="22"/>
      <c r="AA81" s="22"/>
    </row>
    <row r="82" spans="9:27" x14ac:dyDescent="0.25">
      <c r="I82" s="10"/>
      <c r="J82" s="10"/>
      <c r="Y82" s="14" t="e">
        <f t="shared" ca="1" si="1"/>
        <v>#REF!</v>
      </c>
      <c r="Z82" s="22"/>
      <c r="AA82" s="22"/>
    </row>
    <row r="83" spans="9:27" x14ac:dyDescent="0.25">
      <c r="I83" s="10"/>
      <c r="J83" s="10"/>
      <c r="Y83" s="14" t="e">
        <f t="shared" ca="1" si="1"/>
        <v>#REF!</v>
      </c>
      <c r="Z83" s="22"/>
      <c r="AA83" s="22"/>
    </row>
    <row r="84" spans="9:27" x14ac:dyDescent="0.25">
      <c r="I84" s="10"/>
      <c r="J84" s="10"/>
      <c r="Y84" s="14" t="e">
        <f t="shared" ca="1" si="1"/>
        <v>#REF!</v>
      </c>
      <c r="Z84" s="22"/>
      <c r="AA84" s="22"/>
    </row>
    <row r="85" spans="9:27" x14ac:dyDescent="0.25">
      <c r="I85" s="10"/>
      <c r="J85" s="10"/>
      <c r="Y85" s="14" t="e">
        <f t="shared" ca="1" si="1"/>
        <v>#REF!</v>
      </c>
      <c r="Z85" s="22"/>
      <c r="AA85" s="22"/>
    </row>
    <row r="86" spans="9:27" x14ac:dyDescent="0.25">
      <c r="I86" s="10"/>
      <c r="J86" s="10"/>
      <c r="Y86" s="14" t="e">
        <f t="shared" ca="1" si="1"/>
        <v>#REF!</v>
      </c>
      <c r="Z86" s="22"/>
      <c r="AA86" s="22"/>
    </row>
    <row r="87" spans="9:27" x14ac:dyDescent="0.25">
      <c r="I87" s="10"/>
      <c r="J87" s="10"/>
      <c r="Y87" s="14" t="e">
        <f t="shared" ca="1" si="1"/>
        <v>#REF!</v>
      </c>
      <c r="Z87" s="22"/>
      <c r="AA87" s="22"/>
    </row>
    <row r="88" spans="9:27" x14ac:dyDescent="0.25">
      <c r="I88" s="10"/>
      <c r="J88" s="10"/>
      <c r="Y88" s="14" t="e">
        <f t="shared" ca="1" si="1"/>
        <v>#REF!</v>
      </c>
      <c r="Z88" s="22"/>
      <c r="AA88" s="22"/>
    </row>
    <row r="89" spans="9:27" x14ac:dyDescent="0.25">
      <c r="I89" s="10"/>
      <c r="J89" s="10"/>
      <c r="Y89" s="14" t="e">
        <f t="shared" ca="1" si="1"/>
        <v>#REF!</v>
      </c>
      <c r="Z89" s="22"/>
      <c r="AA89" s="22"/>
    </row>
    <row r="90" spans="9:27" x14ac:dyDescent="0.25">
      <c r="I90" s="10"/>
      <c r="J90" s="10"/>
      <c r="Y90" s="14" t="e">
        <f t="shared" ca="1" si="1"/>
        <v>#REF!</v>
      </c>
      <c r="Z90" s="22"/>
      <c r="AA90" s="22"/>
    </row>
    <row r="91" spans="9:27" x14ac:dyDescent="0.25">
      <c r="I91" s="10"/>
      <c r="J91" s="10"/>
      <c r="Y91" s="14" t="e">
        <f t="shared" ca="1" si="1"/>
        <v>#REF!</v>
      </c>
      <c r="Z91" s="22"/>
      <c r="AA91" s="22"/>
    </row>
    <row r="92" spans="9:27" x14ac:dyDescent="0.25">
      <c r="I92" s="10"/>
      <c r="J92" s="10"/>
      <c r="Y92" s="14" t="e">
        <f t="shared" ca="1" si="1"/>
        <v>#REF!</v>
      </c>
      <c r="Z92" s="22"/>
      <c r="AA92" s="22"/>
    </row>
    <row r="93" spans="9:27" x14ac:dyDescent="0.25">
      <c r="I93" s="10"/>
      <c r="J93" s="10"/>
      <c r="Y93" s="14" t="e">
        <f t="shared" ca="1" si="1"/>
        <v>#REF!</v>
      </c>
      <c r="Z93" s="22"/>
      <c r="AA93" s="22"/>
    </row>
    <row r="94" spans="9:27" x14ac:dyDescent="0.25">
      <c r="I94" s="10"/>
      <c r="J94" s="10"/>
      <c r="Y94" s="14" t="e">
        <f t="shared" ca="1" si="1"/>
        <v>#REF!</v>
      </c>
      <c r="Z94" s="22"/>
      <c r="AA94" s="22"/>
    </row>
    <row r="95" spans="9:27" x14ac:dyDescent="0.25">
      <c r="I95" s="10"/>
      <c r="J95" s="10"/>
      <c r="Y95" s="14" t="e">
        <f t="shared" ca="1" si="1"/>
        <v>#REF!</v>
      </c>
      <c r="Z95" s="22"/>
      <c r="AA95" s="22"/>
    </row>
    <row r="96" spans="9:27" x14ac:dyDescent="0.25">
      <c r="I96" s="10"/>
      <c r="J96" s="10"/>
      <c r="Y96" s="14" t="e">
        <f t="shared" ca="1" si="1"/>
        <v>#REF!</v>
      </c>
      <c r="Z96" s="22"/>
      <c r="AA96" s="22"/>
    </row>
    <row r="97" spans="9:27" x14ac:dyDescent="0.25">
      <c r="I97" s="10"/>
      <c r="J97" s="10"/>
      <c r="Y97" s="14" t="e">
        <f t="shared" ca="1" si="1"/>
        <v>#REF!</v>
      </c>
      <c r="Z97" s="22"/>
      <c r="AA97" s="22"/>
    </row>
    <row r="98" spans="9:27" x14ac:dyDescent="0.25">
      <c r="I98" s="10"/>
      <c r="J98" s="10"/>
      <c r="Y98" s="14" t="e">
        <f t="shared" ca="1" si="1"/>
        <v>#REF!</v>
      </c>
      <c r="Z98" s="22"/>
      <c r="AA98" s="22"/>
    </row>
    <row r="99" spans="9:27" x14ac:dyDescent="0.25">
      <c r="I99" s="10"/>
      <c r="J99" s="10"/>
      <c r="Y99" s="14" t="e">
        <f t="shared" ca="1" si="1"/>
        <v>#REF!</v>
      </c>
      <c r="Z99" s="22"/>
      <c r="AA99" s="22"/>
    </row>
    <row r="100" spans="9:27" x14ac:dyDescent="0.25">
      <c r="I100" s="10"/>
      <c r="J100" s="10"/>
      <c r="Y100" s="14" t="e">
        <f t="shared" ca="1" si="1"/>
        <v>#REF!</v>
      </c>
      <c r="Z100" s="22"/>
      <c r="AA100" s="22"/>
    </row>
    <row r="101" spans="9:27" x14ac:dyDescent="0.25">
      <c r="I101" s="10"/>
      <c r="J101" s="10"/>
      <c r="Y101" s="14" t="e">
        <f t="shared" ca="1" si="1"/>
        <v>#REF!</v>
      </c>
      <c r="Z101" s="22"/>
      <c r="AA101" s="22"/>
    </row>
    <row r="102" spans="9:27" x14ac:dyDescent="0.25">
      <c r="I102" s="10"/>
      <c r="J102" s="10"/>
      <c r="Y102" s="14" t="e">
        <f t="shared" ca="1" si="1"/>
        <v>#REF!</v>
      </c>
      <c r="Z102" s="22"/>
      <c r="AA102" s="22"/>
    </row>
    <row r="103" spans="9:27" x14ac:dyDescent="0.25">
      <c r="I103" s="10"/>
      <c r="J103" s="10"/>
      <c r="Y103" s="14" t="e">
        <f t="shared" ca="1" si="1"/>
        <v>#REF!</v>
      </c>
      <c r="Z103" s="22"/>
      <c r="AA103" s="22"/>
    </row>
    <row r="104" spans="9:27" x14ac:dyDescent="0.25">
      <c r="I104" s="10"/>
      <c r="J104" s="10"/>
      <c r="Y104" s="14" t="e">
        <f t="shared" ca="1" si="1"/>
        <v>#REF!</v>
      </c>
      <c r="Z104" s="22"/>
      <c r="AA104" s="22"/>
    </row>
    <row r="105" spans="9:27" x14ac:dyDescent="0.25">
      <c r="I105" s="10"/>
      <c r="J105" s="10"/>
      <c r="Y105" s="14" t="e">
        <f t="shared" ca="1" si="1"/>
        <v>#REF!</v>
      </c>
      <c r="Z105" s="22"/>
      <c r="AA105" s="22"/>
    </row>
    <row r="106" spans="9:27" x14ac:dyDescent="0.25">
      <c r="I106" s="10"/>
      <c r="J106" s="10"/>
      <c r="Y106" s="14" t="e">
        <f t="shared" ca="1" si="1"/>
        <v>#REF!</v>
      </c>
      <c r="Z106" s="22"/>
      <c r="AA106" s="22"/>
    </row>
    <row r="107" spans="9:27" x14ac:dyDescent="0.25">
      <c r="I107" s="10"/>
      <c r="J107" s="10"/>
      <c r="Y107" s="14" t="e">
        <f t="shared" ca="1" si="1"/>
        <v>#REF!</v>
      </c>
      <c r="Z107" s="22"/>
      <c r="AA107" s="22"/>
    </row>
    <row r="108" spans="9:27" x14ac:dyDescent="0.25">
      <c r="I108" s="10"/>
      <c r="J108" s="10"/>
      <c r="Y108" s="14" t="e">
        <f t="shared" ca="1" si="1"/>
        <v>#REF!</v>
      </c>
      <c r="Z108" s="22"/>
      <c r="AA108" s="22"/>
    </row>
    <row r="109" spans="9:27" x14ac:dyDescent="0.25">
      <c r="I109" s="10"/>
      <c r="J109" s="10"/>
      <c r="Y109" s="14" t="e">
        <f t="shared" ca="1" si="1"/>
        <v>#REF!</v>
      </c>
      <c r="Z109" s="22"/>
      <c r="AA109" s="22"/>
    </row>
    <row r="110" spans="9:27" x14ac:dyDescent="0.25">
      <c r="I110" s="10"/>
      <c r="J110" s="10"/>
      <c r="Y110" s="14" t="e">
        <f t="shared" ca="1" si="1"/>
        <v>#REF!</v>
      </c>
      <c r="Z110" s="22"/>
      <c r="AA110" s="22"/>
    </row>
    <row r="111" spans="9:27" x14ac:dyDescent="0.25">
      <c r="I111" s="10"/>
      <c r="J111" s="10"/>
      <c r="Y111" s="14" t="e">
        <f t="shared" ca="1" si="1"/>
        <v>#REF!</v>
      </c>
      <c r="Z111" s="22"/>
      <c r="AA111" s="22"/>
    </row>
    <row r="112" spans="9:27" x14ac:dyDescent="0.25">
      <c r="I112" s="10"/>
      <c r="J112" s="10"/>
      <c r="Y112" s="14" t="e">
        <f t="shared" ca="1" si="1"/>
        <v>#REF!</v>
      </c>
      <c r="Z112" s="22"/>
      <c r="AA112" s="22"/>
    </row>
    <row r="113" spans="9:27" x14ac:dyDescent="0.25">
      <c r="I113" s="10"/>
      <c r="J113" s="10"/>
      <c r="Y113" s="14" t="e">
        <f t="shared" ca="1" si="1"/>
        <v>#REF!</v>
      </c>
      <c r="Z113" s="22"/>
      <c r="AA113" s="22"/>
    </row>
  </sheetData>
  <dataConsolidate function="product"/>
  <mergeCells count="9">
    <mergeCell ref="Z1:AA113"/>
    <mergeCell ref="G3:H3"/>
    <mergeCell ref="R5:Y5"/>
    <mergeCell ref="G1:H1"/>
    <mergeCell ref="A1:F4"/>
    <mergeCell ref="G2:Y2"/>
    <mergeCell ref="N1:Y1"/>
    <mergeCell ref="N3:Y3"/>
    <mergeCell ref="G4:Y4"/>
  </mergeCells>
  <phoneticPr fontId="6" type="noConversion"/>
  <dataValidations count="13">
    <dataValidation type="list" allowBlank="1" showInputMessage="1" showErrorMessage="1" sqref="D6:D113" xr:uid="{3A7BD3AF-24D5-4235-A85A-DB3B99A0D14E}">
      <formula1>Days</formula1>
    </dataValidation>
    <dataValidation type="list" allowBlank="1" showInputMessage="1" showErrorMessage="1" sqref="E6:E113" xr:uid="{59794AB3-5D4D-4DFB-A9B6-1529C9AA162C}">
      <formula1>CurrentSession</formula1>
    </dataValidation>
    <dataValidation type="list" allowBlank="1" showInputMessage="1" showErrorMessage="1" sqref="F6:F113" xr:uid="{B3462951-3AEC-4151-B330-3F7BE1CA9627}">
      <formula1>Year</formula1>
    </dataValidation>
    <dataValidation type="list" allowBlank="1" showInputMessage="1" showErrorMessage="1" sqref="G6:G113" xr:uid="{A2769F84-9173-4705-BACA-A9B210849E3B}">
      <formula1>Level</formula1>
    </dataValidation>
    <dataValidation type="list" allowBlank="1" showInputMessage="1" showErrorMessage="1" sqref="H6:H113" xr:uid="{22FC91BD-2231-4A18-A2E6-B2C8C3CE588E}">
      <formula1>Opener</formula1>
    </dataValidation>
    <dataValidation type="list" allowBlank="1" showInputMessage="1" showErrorMessage="1" sqref="I6:I113" xr:uid="{95F97224-FA7A-4718-9BB9-1DB25BA64064}">
      <formula1>INDIRECT(SUBSTITUTE(G6, " ", ""))</formula1>
    </dataValidation>
    <dataValidation type="list" allowBlank="1" showInputMessage="1" showErrorMessage="1" sqref="K6:K113" xr:uid="{B1B96536-85B0-452E-B2D9-559F5195F232}">
      <formula1>INDIRECT(SUBSTITUTE(G6, " ", ""))</formula1>
    </dataValidation>
    <dataValidation type="list" allowBlank="1" showInputMessage="1" showErrorMessage="1" sqref="M6:M113" xr:uid="{CFE02CA2-9827-4094-8E51-D6C13D858946}">
      <formula1>INDIRECT(SUBSTITUTE(G6, " ", ""))</formula1>
    </dataValidation>
    <dataValidation type="list" allowBlank="1" showInputMessage="1" showErrorMessage="1" sqref="O6:O113" xr:uid="{9E79C836-B5BD-455B-8E1F-FDFE42A15D38}">
      <formula1>Closer</formula1>
    </dataValidation>
    <dataValidation type="list" allowBlank="1" showInputMessage="1" showErrorMessage="1" sqref="P6:P113" xr:uid="{513CCC65-B778-4CE7-B3AC-0BDF519B4D5A}">
      <formula1>NextLevelSession</formula1>
    </dataValidation>
    <dataValidation type="list" allowBlank="1" showInputMessage="1" showErrorMessage="1" sqref="J6:J113" xr:uid="{6D35D269-E4F7-4998-A9B7-56A06F26D6B9}">
      <formula1>INDIRECT( SUBSTITUTE(G6," ","") &amp; "_" &amp; SUBSTITUTE(I6," ",""))</formula1>
    </dataValidation>
    <dataValidation type="list" allowBlank="1" showInputMessage="1" showErrorMessage="1" sqref="L6:L113" xr:uid="{64454030-7CBF-4618-8087-07381E585620}">
      <formula1>INDIRECT( SUBSTITUTE(G6," ","") &amp; "_" &amp; SUBSTITUTE(K6," ",""))</formula1>
    </dataValidation>
    <dataValidation type="list" allowBlank="1" showInputMessage="1" showErrorMessage="1" sqref="N6:N113" xr:uid="{992738E5-CB16-4FB0-B00B-6E081FCD99B0}">
      <formula1>INDIRECT( SUBSTITUTE(G6," ","") &amp; "_" &amp; SUBSTITUTE(M6," ",""))</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A72C0-6BAE-42AD-BE3F-8E2F3A0190C7}">
  <sheetPr codeName="Sheet2"/>
  <dimension ref="A1:O17"/>
  <sheetViews>
    <sheetView workbookViewId="0">
      <selection activeCell="C35" sqref="C35"/>
    </sheetView>
  </sheetViews>
  <sheetFormatPr defaultRowHeight="15" x14ac:dyDescent="0.25"/>
  <cols>
    <col min="1" max="1" width="11.42578125" bestFit="1" customWidth="1"/>
    <col min="2" max="2" width="16.28515625" customWidth="1"/>
    <col min="4" max="4" width="16.140625" customWidth="1"/>
    <col min="5" max="5" width="43.140625" customWidth="1"/>
    <col min="6" max="6" width="52" customWidth="1"/>
    <col min="7" max="7" width="27.140625" customWidth="1"/>
    <col min="8" max="8" width="24.28515625" customWidth="1"/>
    <col min="9" max="9" width="44.28515625" customWidth="1"/>
    <col min="10" max="10" width="26.7109375" customWidth="1"/>
    <col min="11" max="11" width="39.140625" customWidth="1"/>
    <col min="12" max="12" width="19.85546875" customWidth="1"/>
    <col min="14" max="14" width="26.5703125" customWidth="1"/>
    <col min="15" max="15" width="30.85546875" customWidth="1"/>
  </cols>
  <sheetData>
    <row r="1" spans="1:15" ht="15.75" thickBot="1" x14ac:dyDescent="0.3">
      <c r="A1" s="1" t="s">
        <v>22</v>
      </c>
      <c r="B1" s="1" t="s">
        <v>4</v>
      </c>
      <c r="C1" s="1" t="s">
        <v>5</v>
      </c>
      <c r="D1" s="1" t="s">
        <v>28</v>
      </c>
      <c r="E1" s="8" t="s">
        <v>40</v>
      </c>
      <c r="F1" s="9" t="s">
        <v>48</v>
      </c>
      <c r="G1" s="2"/>
      <c r="H1" s="2"/>
      <c r="I1" s="2"/>
      <c r="J1" s="2"/>
      <c r="K1" s="2"/>
      <c r="L1" s="2"/>
      <c r="M1" s="2"/>
      <c r="N1" s="2"/>
      <c r="O1" s="2"/>
    </row>
    <row r="2" spans="1:15" ht="15.75" thickBot="1" x14ac:dyDescent="0.3">
      <c r="A2" t="s">
        <v>14</v>
      </c>
      <c r="B2" t="s">
        <v>23</v>
      </c>
      <c r="C2">
        <v>2022</v>
      </c>
      <c r="D2" s="2" t="s">
        <v>29</v>
      </c>
      <c r="E2" t="s">
        <v>49</v>
      </c>
      <c r="F2" s="2" t="s">
        <v>53</v>
      </c>
      <c r="G2" s="3"/>
      <c r="H2" s="3"/>
      <c r="I2" s="3"/>
      <c r="J2" s="3"/>
      <c r="K2" s="3"/>
      <c r="L2" s="3"/>
      <c r="M2" s="3"/>
      <c r="N2" s="3"/>
      <c r="O2" s="3"/>
    </row>
    <row r="3" spans="1:15" ht="15.75" thickBot="1" x14ac:dyDescent="0.3">
      <c r="A3" t="s">
        <v>15</v>
      </c>
      <c r="B3" t="s">
        <v>24</v>
      </c>
      <c r="C3">
        <v>2023</v>
      </c>
      <c r="D3" s="2" t="s">
        <v>30</v>
      </c>
      <c r="E3" t="s">
        <v>50</v>
      </c>
      <c r="F3" s="2" t="s">
        <v>52</v>
      </c>
      <c r="G3" s="2"/>
      <c r="H3" s="2"/>
      <c r="I3" s="2"/>
      <c r="J3" s="2"/>
      <c r="K3" s="2"/>
      <c r="L3" s="2"/>
      <c r="M3" s="2"/>
      <c r="N3" s="2"/>
      <c r="O3" s="2"/>
    </row>
    <row r="4" spans="1:15" ht="15.75" thickBot="1" x14ac:dyDescent="0.3">
      <c r="A4" t="s">
        <v>16</v>
      </c>
      <c r="B4" t="s">
        <v>25</v>
      </c>
      <c r="C4">
        <v>2024</v>
      </c>
      <c r="D4" s="2" t="s">
        <v>31</v>
      </c>
      <c r="E4" t="s">
        <v>51</v>
      </c>
      <c r="F4" s="5" t="s">
        <v>54</v>
      </c>
      <c r="G4" s="2"/>
      <c r="H4" s="2"/>
      <c r="I4" s="2"/>
      <c r="J4" s="2"/>
      <c r="K4" s="2"/>
      <c r="L4" s="2"/>
      <c r="M4" s="2"/>
      <c r="N4" s="2"/>
      <c r="O4" s="2"/>
    </row>
    <row r="5" spans="1:15" ht="15.75" thickBot="1" x14ac:dyDescent="0.3">
      <c r="A5" t="s">
        <v>17</v>
      </c>
      <c r="B5" t="s">
        <v>26</v>
      </c>
      <c r="C5">
        <v>2025</v>
      </c>
      <c r="D5" s="2" t="s">
        <v>32</v>
      </c>
      <c r="F5" s="2"/>
      <c r="G5" s="2"/>
      <c r="H5" s="2"/>
      <c r="I5" s="2"/>
      <c r="J5" s="2"/>
      <c r="K5" s="2"/>
      <c r="L5" s="2"/>
      <c r="M5" s="2"/>
      <c r="N5" s="2"/>
      <c r="O5" s="2"/>
    </row>
    <row r="6" spans="1:15" ht="15.75" thickBot="1" x14ac:dyDescent="0.3">
      <c r="A6" t="s">
        <v>18</v>
      </c>
      <c r="B6" t="s">
        <v>27</v>
      </c>
      <c r="D6" s="2" t="s">
        <v>33</v>
      </c>
      <c r="F6" s="2"/>
      <c r="G6" s="2"/>
      <c r="H6" s="2"/>
      <c r="I6" s="2"/>
      <c r="J6" s="2"/>
      <c r="K6" s="2"/>
      <c r="L6" s="2"/>
      <c r="M6" s="2"/>
      <c r="N6" s="2"/>
      <c r="O6" s="2"/>
    </row>
    <row r="7" spans="1:15" ht="15.75" thickBot="1" x14ac:dyDescent="0.3">
      <c r="A7" t="s">
        <v>19</v>
      </c>
      <c r="D7" s="2" t="s">
        <v>34</v>
      </c>
      <c r="F7" s="2"/>
      <c r="G7" s="2"/>
      <c r="H7" s="2"/>
      <c r="I7" s="2"/>
      <c r="J7" s="2"/>
      <c r="K7" s="2"/>
      <c r="L7" s="2"/>
      <c r="M7" s="2"/>
      <c r="N7" s="2"/>
      <c r="O7" s="2"/>
    </row>
    <row r="8" spans="1:15" ht="15.75" thickBot="1" x14ac:dyDescent="0.3">
      <c r="A8" t="s">
        <v>20</v>
      </c>
      <c r="D8" s="2" t="s">
        <v>35</v>
      </c>
      <c r="F8" s="2"/>
      <c r="G8" s="2"/>
      <c r="H8" s="2"/>
      <c r="I8" s="2"/>
      <c r="J8" s="2"/>
      <c r="K8" s="2"/>
      <c r="L8" s="2"/>
      <c r="M8" s="2"/>
      <c r="N8" s="2"/>
      <c r="O8" s="2"/>
    </row>
    <row r="9" spans="1:15" ht="15.75" thickBot="1" x14ac:dyDescent="0.3">
      <c r="A9" t="s">
        <v>21</v>
      </c>
      <c r="D9" s="2" t="s">
        <v>36</v>
      </c>
      <c r="F9" s="2"/>
      <c r="G9" s="2"/>
      <c r="H9" s="2"/>
      <c r="I9" s="2"/>
      <c r="J9" s="2"/>
      <c r="K9" s="2"/>
      <c r="L9" s="2"/>
      <c r="M9" s="2"/>
      <c r="N9" s="2"/>
      <c r="O9" s="2"/>
    </row>
    <row r="10" spans="1:15" ht="15.75" thickBot="1" x14ac:dyDescent="0.3">
      <c r="D10" s="2" t="s">
        <v>37</v>
      </c>
      <c r="F10" s="2"/>
      <c r="G10" s="2"/>
      <c r="H10" s="2"/>
      <c r="I10" s="2"/>
      <c r="J10" s="2"/>
      <c r="K10" s="2"/>
      <c r="L10" s="2"/>
      <c r="M10" s="2"/>
      <c r="N10" s="2"/>
      <c r="O10" s="2"/>
    </row>
    <row r="11" spans="1:15" ht="15.75" thickBot="1" x14ac:dyDescent="0.3">
      <c r="D11" s="2" t="s">
        <v>38</v>
      </c>
      <c r="F11" s="2"/>
      <c r="G11" s="2"/>
      <c r="H11" s="2"/>
      <c r="I11" s="2"/>
      <c r="J11" s="2"/>
      <c r="K11" s="2"/>
      <c r="L11" s="2"/>
      <c r="M11" s="2"/>
      <c r="N11" s="2"/>
      <c r="O11" s="2"/>
    </row>
    <row r="12" spans="1:15" ht="15.75" thickBot="1" x14ac:dyDescent="0.3">
      <c r="F12" s="2"/>
      <c r="G12" s="2"/>
      <c r="H12" s="2"/>
      <c r="I12" s="2"/>
      <c r="J12" s="2"/>
      <c r="K12" s="2"/>
      <c r="L12" s="2"/>
      <c r="M12" s="2"/>
      <c r="N12" s="2"/>
      <c r="O12" s="2"/>
    </row>
    <row r="13" spans="1:15" ht="15.75" thickBot="1" x14ac:dyDescent="0.3">
      <c r="F13" s="2"/>
      <c r="G13" s="2"/>
      <c r="H13" s="2"/>
      <c r="I13" s="2"/>
      <c r="J13" s="2"/>
      <c r="K13" s="2"/>
      <c r="L13" s="2"/>
      <c r="M13" s="2"/>
      <c r="N13" s="2"/>
      <c r="O13" s="2"/>
    </row>
    <row r="14" spans="1:15" ht="15.75" thickBot="1" x14ac:dyDescent="0.3">
      <c r="F14" s="2"/>
      <c r="G14" s="2"/>
      <c r="H14" s="2"/>
      <c r="I14" s="2"/>
      <c r="J14" s="2"/>
      <c r="K14" s="2"/>
      <c r="L14" s="2"/>
      <c r="M14" s="2"/>
      <c r="N14" s="2"/>
      <c r="O14" s="2"/>
    </row>
    <row r="15" spans="1:15" ht="15.75" thickBot="1" x14ac:dyDescent="0.3">
      <c r="F15" s="2"/>
      <c r="G15" s="2"/>
      <c r="H15" s="2"/>
      <c r="I15" s="2"/>
      <c r="J15" s="2"/>
      <c r="K15" s="2"/>
      <c r="L15" s="2"/>
      <c r="M15" s="2"/>
      <c r="N15" s="2"/>
      <c r="O15" s="2"/>
    </row>
    <row r="16" spans="1:15" ht="15.75" thickBot="1" x14ac:dyDescent="0.3">
      <c r="F16" s="2"/>
      <c r="G16" s="2"/>
      <c r="H16" s="2"/>
      <c r="I16" s="2"/>
      <c r="J16" s="2"/>
      <c r="K16" s="2"/>
      <c r="L16" s="2"/>
      <c r="M16" s="2"/>
      <c r="N16" s="2"/>
      <c r="O16" s="2"/>
    </row>
    <row r="17" spans="6:15" ht="15.75" thickBot="1" x14ac:dyDescent="0.3">
      <c r="F17" s="2"/>
      <c r="G17" s="2"/>
      <c r="H17" s="2"/>
      <c r="I17" s="2"/>
      <c r="J17" s="2"/>
      <c r="K17" s="2"/>
      <c r="L17" s="2"/>
      <c r="M17" s="2"/>
      <c r="N17" s="2"/>
      <c r="O17" s="2"/>
    </row>
  </sheetData>
  <sheetProtection algorithmName="SHA-512" hashValue="Lj3Z6nMWt8NcGJdDCfdjUqUG/GNNipazIjtNK2ujV6N1lOluCv9dmkYZqSduIRrl6nSqyhn+B5v/r/GtRGBmkA==" saltValue="YkqDB1cuOlP6X0qRXBvHEg==" spinCount="100000" sheet="1" objects="1" scenarios="1" selectLockedCells="1" selectUn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C80D3-A0EB-408A-9E7F-9517DF2F3D19}">
  <sheetPr codeName="Sheet3"/>
  <dimension ref="A1:N17"/>
  <sheetViews>
    <sheetView topLeftCell="B1" zoomScale="91" zoomScaleNormal="70" workbookViewId="0">
      <selection activeCell="F6" sqref="F6"/>
    </sheetView>
  </sheetViews>
  <sheetFormatPr defaultRowHeight="15" x14ac:dyDescent="0.25"/>
  <cols>
    <col min="1" max="1" width="37.7109375" bestFit="1" customWidth="1"/>
    <col min="2" max="2" width="34.5703125" customWidth="1"/>
    <col min="3" max="3" width="46.7109375" customWidth="1"/>
    <col min="4" max="4" width="41.85546875" customWidth="1"/>
    <col min="5" max="5" width="37.140625" customWidth="1"/>
    <col min="6" max="6" width="39.85546875" customWidth="1"/>
    <col min="7" max="7" width="35.7109375" customWidth="1"/>
    <col min="8" max="8" width="37.28515625" customWidth="1"/>
    <col min="9" max="9" width="28.85546875" customWidth="1"/>
    <col min="10" max="10" width="45.140625" customWidth="1"/>
    <col min="12" max="12" width="17.140625" customWidth="1"/>
  </cols>
  <sheetData>
    <row r="1" spans="1:14" ht="15.75" thickBot="1" x14ac:dyDescent="0.3">
      <c r="A1" s="4" t="s">
        <v>29</v>
      </c>
      <c r="B1" s="4" t="s">
        <v>30</v>
      </c>
      <c r="C1" s="4" t="s">
        <v>31</v>
      </c>
      <c r="D1" s="4" t="s">
        <v>32</v>
      </c>
      <c r="E1" s="4" t="s">
        <v>33</v>
      </c>
      <c r="F1" s="4" t="s">
        <v>34</v>
      </c>
      <c r="G1" s="4" t="s">
        <v>35</v>
      </c>
      <c r="H1" s="4" t="s">
        <v>36</v>
      </c>
      <c r="I1" s="4" t="s">
        <v>37</v>
      </c>
      <c r="J1" s="4" t="s">
        <v>38</v>
      </c>
      <c r="K1" s="12" t="s">
        <v>55</v>
      </c>
      <c r="L1" s="12" t="s">
        <v>57</v>
      </c>
      <c r="M1" s="12" t="s">
        <v>56</v>
      </c>
      <c r="N1" s="12" t="s">
        <v>58</v>
      </c>
    </row>
    <row r="2" spans="1:14" ht="15.75" thickBot="1" x14ac:dyDescent="0.3">
      <c r="A2" s="5" t="s">
        <v>475</v>
      </c>
      <c r="B2" s="5" t="s">
        <v>475</v>
      </c>
      <c r="C2" s="5" t="s">
        <v>484</v>
      </c>
      <c r="D2" s="5" t="s">
        <v>487</v>
      </c>
      <c r="E2" s="5" t="s">
        <v>484</v>
      </c>
      <c r="F2" s="5" t="s">
        <v>493</v>
      </c>
      <c r="G2" s="5" t="s">
        <v>493</v>
      </c>
      <c r="H2" s="5" t="s">
        <v>497</v>
      </c>
      <c r="I2" s="5" t="s">
        <v>479</v>
      </c>
      <c r="J2" s="5" t="s">
        <v>479</v>
      </c>
    </row>
    <row r="3" spans="1:14" ht="15.75" thickBot="1" x14ac:dyDescent="0.3">
      <c r="A3" s="5" t="s">
        <v>479</v>
      </c>
      <c r="B3" s="5" t="s">
        <v>479</v>
      </c>
      <c r="C3" s="5" t="s">
        <v>479</v>
      </c>
      <c r="D3" s="5" t="s">
        <v>479</v>
      </c>
      <c r="E3" s="5" t="s">
        <v>479</v>
      </c>
      <c r="F3" s="5" t="s">
        <v>479</v>
      </c>
      <c r="G3" s="5" t="s">
        <v>479</v>
      </c>
      <c r="H3" s="5" t="s">
        <v>479</v>
      </c>
      <c r="I3" s="5" t="s">
        <v>520</v>
      </c>
      <c r="J3" s="5" t="s">
        <v>489</v>
      </c>
    </row>
    <row r="4" spans="1:14" ht="15.75" thickBot="1" x14ac:dyDescent="0.3">
      <c r="A4" s="5" t="s">
        <v>116</v>
      </c>
      <c r="B4" s="5" t="s">
        <v>474</v>
      </c>
      <c r="C4" s="5" t="s">
        <v>485</v>
      </c>
      <c r="D4" s="5" t="s">
        <v>574</v>
      </c>
      <c r="E4" s="5" t="s">
        <v>490</v>
      </c>
      <c r="F4" s="5" t="s">
        <v>519</v>
      </c>
      <c r="G4" s="5" t="s">
        <v>42</v>
      </c>
      <c r="H4" s="5" t="s">
        <v>518</v>
      </c>
      <c r="I4" s="5" t="s">
        <v>489</v>
      </c>
      <c r="J4" s="5" t="s">
        <v>491</v>
      </c>
    </row>
    <row r="5" spans="1:14" ht="15.75" thickBot="1" x14ac:dyDescent="0.3">
      <c r="A5" s="5" t="s">
        <v>571</v>
      </c>
      <c r="B5" s="5" t="s">
        <v>480</v>
      </c>
      <c r="C5" s="5" t="s">
        <v>567</v>
      </c>
      <c r="D5" s="5" t="s">
        <v>41</v>
      </c>
      <c r="E5" s="5" t="s">
        <v>44</v>
      </c>
      <c r="F5" s="5" t="s">
        <v>490</v>
      </c>
      <c r="G5" s="5" t="s">
        <v>489</v>
      </c>
      <c r="H5" s="5" t="s">
        <v>43</v>
      </c>
      <c r="I5" s="5" t="s">
        <v>491</v>
      </c>
      <c r="J5" s="5" t="s">
        <v>494</v>
      </c>
    </row>
    <row r="6" spans="1:14" ht="15.75" thickBot="1" x14ac:dyDescent="0.3">
      <c r="A6" s="5" t="s">
        <v>570</v>
      </c>
      <c r="B6" s="5" t="s">
        <v>481</v>
      </c>
      <c r="C6" s="5" t="s">
        <v>566</v>
      </c>
      <c r="D6" s="5" t="s">
        <v>576</v>
      </c>
      <c r="E6" s="5" t="s">
        <v>519</v>
      </c>
      <c r="F6" s="5" t="s">
        <v>45</v>
      </c>
      <c r="G6" s="5" t="s">
        <v>491</v>
      </c>
      <c r="H6" s="5" t="s">
        <v>489</v>
      </c>
      <c r="I6" s="5" t="s">
        <v>494</v>
      </c>
      <c r="J6" s="5" t="s">
        <v>498</v>
      </c>
    </row>
    <row r="7" spans="1:14" ht="15.75" thickBot="1" x14ac:dyDescent="0.3">
      <c r="A7" s="5" t="s">
        <v>480</v>
      </c>
      <c r="B7" s="5" t="s">
        <v>482</v>
      </c>
      <c r="C7" s="5" t="s">
        <v>563</v>
      </c>
      <c r="D7" s="5" t="s">
        <v>480</v>
      </c>
      <c r="E7" s="5" t="s">
        <v>480</v>
      </c>
      <c r="F7" s="5" t="s">
        <v>489</v>
      </c>
      <c r="G7" s="5" t="s">
        <v>494</v>
      </c>
      <c r="H7" s="5" t="s">
        <v>491</v>
      </c>
      <c r="I7" s="5" t="s">
        <v>498</v>
      </c>
      <c r="J7" s="5" t="s">
        <v>500</v>
      </c>
    </row>
    <row r="8" spans="1:14" ht="15.75" thickBot="1" x14ac:dyDescent="0.3">
      <c r="A8" s="5" t="s">
        <v>501</v>
      </c>
      <c r="B8" s="5" t="s">
        <v>483</v>
      </c>
      <c r="C8" s="5" t="s">
        <v>480</v>
      </c>
      <c r="D8" s="5" t="s">
        <v>517</v>
      </c>
      <c r="E8" s="5" t="s">
        <v>489</v>
      </c>
      <c r="F8" s="5" t="s">
        <v>491</v>
      </c>
      <c r="G8" s="5" t="s">
        <v>495</v>
      </c>
      <c r="H8" s="5" t="s">
        <v>498</v>
      </c>
      <c r="I8" s="5" t="s">
        <v>499</v>
      </c>
      <c r="J8" s="5"/>
    </row>
    <row r="9" spans="1:14" ht="15.75" thickBot="1" x14ac:dyDescent="0.3">
      <c r="A9" s="5" t="s">
        <v>502</v>
      </c>
      <c r="B9" s="5" t="s">
        <v>521</v>
      </c>
      <c r="C9" s="5" t="s">
        <v>481</v>
      </c>
      <c r="D9" s="5" t="s">
        <v>488</v>
      </c>
      <c r="E9" s="5" t="s">
        <v>491</v>
      </c>
      <c r="F9" s="5" t="s">
        <v>494</v>
      </c>
      <c r="G9" s="5" t="s">
        <v>496</v>
      </c>
      <c r="H9" s="5"/>
      <c r="I9" s="5"/>
      <c r="J9" s="5"/>
    </row>
    <row r="10" spans="1:14" ht="15.75" thickBot="1" x14ac:dyDescent="0.3">
      <c r="A10" s="5" t="s">
        <v>503</v>
      </c>
      <c r="B10" s="5" t="s">
        <v>478</v>
      </c>
      <c r="C10" s="5" t="s">
        <v>482</v>
      </c>
      <c r="D10" s="5" t="s">
        <v>489</v>
      </c>
      <c r="E10" s="5" t="s">
        <v>492</v>
      </c>
      <c r="F10" s="5"/>
      <c r="G10" s="5"/>
      <c r="H10" s="5"/>
      <c r="I10" s="5"/>
      <c r="J10" s="5"/>
    </row>
    <row r="11" spans="1:14" ht="15.75" thickBot="1" x14ac:dyDescent="0.3">
      <c r="A11" s="5" t="s">
        <v>476</v>
      </c>
      <c r="B11" s="5"/>
      <c r="C11" s="5" t="s">
        <v>486</v>
      </c>
      <c r="D11" s="5"/>
      <c r="E11" s="5"/>
      <c r="F11" s="5"/>
      <c r="G11" s="5"/>
      <c r="H11" s="5"/>
      <c r="I11" s="5"/>
      <c r="J11" s="5"/>
    </row>
    <row r="12" spans="1:14" ht="15.75" thickBot="1" x14ac:dyDescent="0.3">
      <c r="A12" s="5" t="s">
        <v>477</v>
      </c>
      <c r="B12" s="5"/>
      <c r="C12" s="5" t="s">
        <v>508</v>
      </c>
      <c r="D12" s="5"/>
      <c r="E12" s="5"/>
      <c r="F12" s="5"/>
      <c r="G12" s="5"/>
      <c r="H12" s="5"/>
      <c r="I12" s="5"/>
    </row>
    <row r="13" spans="1:14" ht="15.75" thickBot="1" x14ac:dyDescent="0.3">
      <c r="A13" s="5" t="s">
        <v>504</v>
      </c>
      <c r="C13" s="5" t="s">
        <v>478</v>
      </c>
      <c r="D13" s="5"/>
      <c r="H13" s="5"/>
    </row>
    <row r="14" spans="1:14" ht="15.75" thickBot="1" x14ac:dyDescent="0.3">
      <c r="A14" s="5" t="s">
        <v>478</v>
      </c>
      <c r="C14" s="5"/>
    </row>
    <row r="16" spans="1:14" x14ac:dyDescent="0.25">
      <c r="A16" s="16"/>
    </row>
    <row r="17" spans="1:1" x14ac:dyDescent="0.25">
      <c r="A17" s="16"/>
    </row>
  </sheetData>
  <sheetProtection algorithmName="SHA-512" hashValue="uYCby1tVvSvy2l0TLEEKbU7h1kRf6yUUsHlJ/XK8H5uQc4uN+AqtdaxQ0/BFDCIdUcHYZ4qQX8siyPmxv9NvCQ==" saltValue="VtJt2Qdb/fBoQQ6+U3TTgw==" spinCount="100000" sheet="1" selectLockedCells="1" selectUnlockedCells="1"/>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8419D-41D9-4208-8E6C-09050EB990ED}">
  <sheetPr codeName="Sheet5"/>
  <dimension ref="A1:N37"/>
  <sheetViews>
    <sheetView topLeftCell="D1" zoomScale="91" zoomScaleNormal="70" workbookViewId="0">
      <selection activeCell="I5" sqref="I5"/>
    </sheetView>
  </sheetViews>
  <sheetFormatPr defaultRowHeight="15" x14ac:dyDescent="0.25"/>
  <cols>
    <col min="1" max="1" width="37.7109375" bestFit="1" customWidth="1"/>
    <col min="2" max="2" width="34.5703125" customWidth="1"/>
    <col min="3" max="3" width="46.7109375" customWidth="1"/>
    <col min="4" max="4" width="41.85546875" customWidth="1"/>
    <col min="5" max="5" width="37.140625" customWidth="1"/>
    <col min="6" max="6" width="39.85546875" customWidth="1"/>
    <col min="7" max="7" width="35.7109375" customWidth="1"/>
    <col min="8" max="8" width="37.28515625" customWidth="1"/>
    <col min="9" max="9" width="28.85546875" customWidth="1"/>
    <col min="10" max="10" width="45.140625" customWidth="1"/>
    <col min="12" max="12" width="17.140625" customWidth="1"/>
  </cols>
  <sheetData>
    <row r="1" spans="1:14" ht="15.75" thickBot="1" x14ac:dyDescent="0.3">
      <c r="A1" s="4" t="s">
        <v>29</v>
      </c>
      <c r="B1" s="4" t="s">
        <v>30</v>
      </c>
      <c r="C1" s="4" t="s">
        <v>31</v>
      </c>
      <c r="D1" s="4" t="s">
        <v>32</v>
      </c>
      <c r="E1" s="4" t="s">
        <v>33</v>
      </c>
      <c r="F1" s="4" t="s">
        <v>34</v>
      </c>
      <c r="G1" s="4" t="s">
        <v>35</v>
      </c>
      <c r="H1" s="4" t="s">
        <v>36</v>
      </c>
      <c r="I1" s="4" t="s">
        <v>37</v>
      </c>
      <c r="J1" s="4" t="s">
        <v>38</v>
      </c>
      <c r="K1" s="12" t="s">
        <v>55</v>
      </c>
      <c r="L1" s="12" t="s">
        <v>57</v>
      </c>
      <c r="M1" s="12" t="s">
        <v>56</v>
      </c>
      <c r="N1" s="12" t="s">
        <v>58</v>
      </c>
    </row>
    <row r="2" spans="1:14" ht="15.75" thickBot="1" x14ac:dyDescent="0.3">
      <c r="A2" s="5" t="s">
        <v>70</v>
      </c>
      <c r="B2" s="5" t="s">
        <v>118</v>
      </c>
      <c r="C2" s="5" t="s">
        <v>126</v>
      </c>
      <c r="D2" s="5" t="s">
        <v>133</v>
      </c>
      <c r="E2" s="5" t="s">
        <v>139</v>
      </c>
      <c r="F2" s="5" t="s">
        <v>146</v>
      </c>
      <c r="G2" s="5" t="s">
        <v>152</v>
      </c>
      <c r="H2" s="5" t="s">
        <v>524</v>
      </c>
      <c r="I2" s="5" t="s">
        <v>163</v>
      </c>
      <c r="J2" s="5" t="s">
        <v>153</v>
      </c>
    </row>
    <row r="3" spans="1:14" ht="15.75" thickBot="1" x14ac:dyDescent="0.3">
      <c r="A3" s="5" t="s">
        <v>153</v>
      </c>
      <c r="B3" s="5" t="s">
        <v>153</v>
      </c>
      <c r="C3" s="5" t="s">
        <v>153</v>
      </c>
      <c r="D3" s="5" t="s">
        <v>153</v>
      </c>
      <c r="E3" s="5" t="s">
        <v>153</v>
      </c>
      <c r="F3" s="5" t="s">
        <v>153</v>
      </c>
      <c r="G3" s="5" t="s">
        <v>153</v>
      </c>
      <c r="H3" s="5" t="s">
        <v>153</v>
      </c>
      <c r="I3" s="5" t="s">
        <v>153</v>
      </c>
      <c r="J3" s="5" t="s">
        <v>164</v>
      </c>
    </row>
    <row r="4" spans="1:14" ht="15.75" thickBot="1" x14ac:dyDescent="0.3">
      <c r="A4" s="5" t="s">
        <v>66</v>
      </c>
      <c r="B4" s="5" t="s">
        <v>572</v>
      </c>
      <c r="C4" s="5" t="s">
        <v>564</v>
      </c>
      <c r="D4" s="5" t="s">
        <v>575</v>
      </c>
      <c r="E4" s="5" t="s">
        <v>140</v>
      </c>
      <c r="F4" s="5" t="s">
        <v>579</v>
      </c>
      <c r="G4" s="5" t="s">
        <v>154</v>
      </c>
      <c r="H4" s="5" t="s">
        <v>522</v>
      </c>
      <c r="I4" s="5" t="s">
        <v>580</v>
      </c>
      <c r="J4" s="5" t="s">
        <v>165</v>
      </c>
    </row>
    <row r="5" spans="1:14" ht="15.75" thickBot="1" x14ac:dyDescent="0.3">
      <c r="A5" s="5" t="s">
        <v>71</v>
      </c>
      <c r="B5" s="5" t="s">
        <v>119</v>
      </c>
      <c r="C5" s="5" t="s">
        <v>127</v>
      </c>
      <c r="D5" s="5" t="s">
        <v>134</v>
      </c>
      <c r="E5" s="5" t="s">
        <v>141</v>
      </c>
      <c r="F5" s="5" t="s">
        <v>147</v>
      </c>
      <c r="G5" s="5" t="s">
        <v>155</v>
      </c>
      <c r="H5" s="5" t="s">
        <v>159</v>
      </c>
      <c r="I5" s="5" t="s">
        <v>164</v>
      </c>
      <c r="J5" s="5" t="s">
        <v>166</v>
      </c>
    </row>
    <row r="6" spans="1:14" ht="15.75" thickBot="1" x14ac:dyDescent="0.3">
      <c r="A6" s="5" t="s">
        <v>562</v>
      </c>
      <c r="B6" s="5" t="s">
        <v>121</v>
      </c>
      <c r="C6" s="5" t="s">
        <v>565</v>
      </c>
      <c r="D6" s="5" t="s">
        <v>135</v>
      </c>
      <c r="E6" s="5" t="s">
        <v>142</v>
      </c>
      <c r="F6" s="5" t="s">
        <v>148</v>
      </c>
      <c r="G6" s="5" t="s">
        <v>156</v>
      </c>
      <c r="H6" s="5" t="s">
        <v>160</v>
      </c>
      <c r="I6" s="5" t="s">
        <v>165</v>
      </c>
      <c r="J6" s="5" t="s">
        <v>169</v>
      </c>
    </row>
    <row r="7" spans="1:14" ht="15.75" thickBot="1" x14ac:dyDescent="0.3">
      <c r="A7" s="5" t="s">
        <v>120</v>
      </c>
      <c r="B7" s="5" t="s">
        <v>122</v>
      </c>
      <c r="C7" s="5" t="s">
        <v>128</v>
      </c>
      <c r="D7" s="5" t="s">
        <v>136</v>
      </c>
      <c r="E7" s="5" t="s">
        <v>578</v>
      </c>
      <c r="F7" s="5" t="s">
        <v>149</v>
      </c>
      <c r="G7" s="5" t="s">
        <v>523</v>
      </c>
      <c r="H7" s="5" t="s">
        <v>161</v>
      </c>
      <c r="I7" s="5" t="s">
        <v>166</v>
      </c>
      <c r="J7" s="5" t="s">
        <v>170</v>
      </c>
    </row>
    <row r="8" spans="1:14" ht="15.75" thickBot="1" x14ac:dyDescent="0.3">
      <c r="A8" s="5" t="s">
        <v>123</v>
      </c>
      <c r="B8" s="5" t="s">
        <v>125</v>
      </c>
      <c r="C8" s="5" t="s">
        <v>129</v>
      </c>
      <c r="D8" s="5" t="s">
        <v>577</v>
      </c>
      <c r="E8" s="5" t="s">
        <v>143</v>
      </c>
      <c r="F8" s="5" t="s">
        <v>150</v>
      </c>
      <c r="G8" s="5" t="s">
        <v>157</v>
      </c>
      <c r="H8" s="5" t="s">
        <v>162</v>
      </c>
      <c r="I8" s="5" t="s">
        <v>167</v>
      </c>
      <c r="J8" s="5"/>
    </row>
    <row r="9" spans="1:14" ht="15.75" thickBot="1" x14ac:dyDescent="0.3">
      <c r="A9" s="5" t="s">
        <v>124</v>
      </c>
      <c r="B9" s="5" t="s">
        <v>506</v>
      </c>
      <c r="C9" s="5" t="s">
        <v>130</v>
      </c>
      <c r="D9" s="5" t="s">
        <v>137</v>
      </c>
      <c r="E9" s="5" t="s">
        <v>144</v>
      </c>
      <c r="F9" s="5" t="s">
        <v>151</v>
      </c>
      <c r="G9" s="5" t="s">
        <v>158</v>
      </c>
      <c r="H9" s="5"/>
      <c r="I9" s="5" t="s">
        <v>168</v>
      </c>
      <c r="J9" s="5"/>
    </row>
    <row r="10" spans="1:14" ht="15.75" thickBot="1" x14ac:dyDescent="0.3">
      <c r="A10" s="5" t="s">
        <v>67</v>
      </c>
      <c r="B10" s="5" t="s">
        <v>72</v>
      </c>
      <c r="C10" s="5" t="s">
        <v>131</v>
      </c>
      <c r="D10" s="5" t="s">
        <v>138</v>
      </c>
      <c r="E10" s="5" t="s">
        <v>145</v>
      </c>
      <c r="F10" s="5"/>
      <c r="G10" s="5"/>
      <c r="H10" s="5"/>
      <c r="I10" s="5"/>
      <c r="J10" s="5"/>
    </row>
    <row r="11" spans="1:14" ht="15.75" thickBot="1" x14ac:dyDescent="0.3">
      <c r="A11" s="5" t="s">
        <v>68</v>
      </c>
      <c r="B11" s="5"/>
      <c r="C11" s="5" t="s">
        <v>132</v>
      </c>
      <c r="D11" s="5"/>
      <c r="E11" s="5" t="s">
        <v>568</v>
      </c>
      <c r="F11" s="5"/>
      <c r="G11" s="5"/>
      <c r="H11" s="5"/>
      <c r="I11" s="5"/>
      <c r="J11" s="5"/>
    </row>
    <row r="12" spans="1:14" ht="15.75" thickBot="1" x14ac:dyDescent="0.3">
      <c r="A12" s="5" t="s">
        <v>69</v>
      </c>
      <c r="B12" s="5"/>
      <c r="C12" s="5" t="s">
        <v>507</v>
      </c>
      <c r="D12" s="5"/>
      <c r="E12" s="5"/>
      <c r="F12" s="5"/>
      <c r="G12" s="5"/>
      <c r="H12" s="5"/>
      <c r="I12" s="5"/>
    </row>
    <row r="13" spans="1:14" ht="15.75" thickBot="1" x14ac:dyDescent="0.3">
      <c r="A13" s="5" t="s">
        <v>505</v>
      </c>
      <c r="C13" s="5" t="s">
        <v>569</v>
      </c>
      <c r="D13" s="5"/>
      <c r="E13" s="5"/>
      <c r="H13" s="5"/>
      <c r="I13" s="5"/>
    </row>
    <row r="14" spans="1:14" ht="15.75" thickBot="1" x14ac:dyDescent="0.3">
      <c r="A14" s="5" t="s">
        <v>72</v>
      </c>
      <c r="C14" s="5"/>
    </row>
    <row r="16" spans="1:14" x14ac:dyDescent="0.25">
      <c r="A16" s="16"/>
    </row>
    <row r="17" spans="1:1" x14ac:dyDescent="0.25">
      <c r="A17" s="16"/>
    </row>
    <row r="22" spans="1:1" ht="15.75" thickBot="1" x14ac:dyDescent="0.3"/>
    <row r="23" spans="1:1" ht="15.75" thickBot="1" x14ac:dyDescent="0.3">
      <c r="A23" s="5"/>
    </row>
    <row r="24" spans="1:1" ht="15.75" thickBot="1" x14ac:dyDescent="0.3">
      <c r="A24" s="5"/>
    </row>
    <row r="25" spans="1:1" ht="15.75" thickBot="1" x14ac:dyDescent="0.3">
      <c r="A25" s="5"/>
    </row>
    <row r="26" spans="1:1" ht="15.75" thickBot="1" x14ac:dyDescent="0.3">
      <c r="A26" s="5"/>
    </row>
    <row r="27" spans="1:1" ht="15.75" thickBot="1" x14ac:dyDescent="0.3">
      <c r="A27" s="5"/>
    </row>
    <row r="28" spans="1:1" ht="15.75" thickBot="1" x14ac:dyDescent="0.3">
      <c r="A28" s="5"/>
    </row>
    <row r="29" spans="1:1" ht="15.75" thickBot="1" x14ac:dyDescent="0.3">
      <c r="A29" s="5"/>
    </row>
    <row r="30" spans="1:1" ht="15.75" thickBot="1" x14ac:dyDescent="0.3">
      <c r="A30" s="5"/>
    </row>
    <row r="31" spans="1:1" ht="15.75" thickBot="1" x14ac:dyDescent="0.3">
      <c r="A31" s="5"/>
    </row>
    <row r="32" spans="1:1" ht="15.75" thickBot="1" x14ac:dyDescent="0.3">
      <c r="A32" s="5"/>
    </row>
    <row r="33" spans="1:1" ht="15.75" thickBot="1" x14ac:dyDescent="0.3">
      <c r="A33" s="5"/>
    </row>
    <row r="34" spans="1:1" ht="15.75" thickBot="1" x14ac:dyDescent="0.3">
      <c r="A34" s="5"/>
    </row>
    <row r="35" spans="1:1" ht="15.75" thickBot="1" x14ac:dyDescent="0.3">
      <c r="A35" s="5"/>
    </row>
    <row r="36" spans="1:1" ht="15.75" thickBot="1" x14ac:dyDescent="0.3">
      <c r="A36" s="5"/>
    </row>
    <row r="37" spans="1:1" ht="15.75" thickBot="1" x14ac:dyDescent="0.3">
      <c r="A37" s="5"/>
    </row>
  </sheetData>
  <sheetProtection algorithmName="SHA-512" hashValue="sC9gNX8xLGiTKfrqsXm9HrzVNICc7OrTQ+PuI/fv8+egREiSypr4b1/9Rd6lVCICKFnuCJcYDxIfyyA5QffYIA==" saltValue="gtWWP6tdiEX537lzO2EqEQ==" spinCount="100000" sheet="1" selectLockedCells="1" selectUnlockedCells="1"/>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937D9-256C-49C8-A22D-EF764A32477E}">
  <sheetPr codeName="Sheet4"/>
  <dimension ref="A1:M7"/>
  <sheetViews>
    <sheetView workbookViewId="0">
      <selection activeCell="K2" sqref="K2"/>
    </sheetView>
  </sheetViews>
  <sheetFormatPr defaultRowHeight="15" x14ac:dyDescent="0.25"/>
  <cols>
    <col min="1" max="1" width="19.42578125" customWidth="1"/>
    <col min="2" max="2" width="23.28515625" customWidth="1"/>
    <col min="3" max="3" width="24.5703125" customWidth="1"/>
    <col min="4" max="4" width="22.85546875" customWidth="1"/>
    <col min="5" max="5" width="13.42578125" customWidth="1"/>
    <col min="6" max="6" width="15.85546875" customWidth="1"/>
    <col min="12" max="12" width="11.42578125" bestFit="1" customWidth="1"/>
    <col min="13" max="13" width="14.7109375" bestFit="1" customWidth="1"/>
    <col min="14" max="14" width="82" bestFit="1" customWidth="1"/>
  </cols>
  <sheetData>
    <row r="1" spans="1:13" x14ac:dyDescent="0.25">
      <c r="A1" s="10" t="s">
        <v>117</v>
      </c>
      <c r="B1" s="10" t="s">
        <v>74</v>
      </c>
      <c r="C1" s="10" t="s">
        <v>81</v>
      </c>
      <c r="D1" s="10" t="s">
        <v>88</v>
      </c>
      <c r="E1" s="10" t="s">
        <v>95</v>
      </c>
      <c r="F1" s="10" t="s">
        <v>102</v>
      </c>
      <c r="G1" s="10" t="s">
        <v>109</v>
      </c>
      <c r="H1" s="10" t="s">
        <v>177</v>
      </c>
      <c r="I1" s="10" t="s">
        <v>525</v>
      </c>
      <c r="J1" s="10" t="s">
        <v>526</v>
      </c>
      <c r="K1" s="10" t="s">
        <v>527</v>
      </c>
      <c r="L1" s="10" t="s">
        <v>528</v>
      </c>
      <c r="M1" s="10" t="s">
        <v>529</v>
      </c>
    </row>
    <row r="2" spans="1:13" x14ac:dyDescent="0.25">
      <c r="A2" t="s">
        <v>60</v>
      </c>
      <c r="B2" t="s">
        <v>75</v>
      </c>
      <c r="C2" t="s">
        <v>82</v>
      </c>
      <c r="D2" t="s">
        <v>89</v>
      </c>
      <c r="E2" t="s">
        <v>96</v>
      </c>
      <c r="F2" t="s">
        <v>103</v>
      </c>
      <c r="G2" t="s">
        <v>110</v>
      </c>
      <c r="H2" t="s">
        <v>530</v>
      </c>
      <c r="I2" t="s">
        <v>531</v>
      </c>
      <c r="J2" t="s">
        <v>533</v>
      </c>
      <c r="K2" t="s">
        <v>535</v>
      </c>
      <c r="L2" t="s">
        <v>537</v>
      </c>
      <c r="M2" t="s">
        <v>82</v>
      </c>
    </row>
    <row r="3" spans="1:13" x14ac:dyDescent="0.25">
      <c r="A3" t="s">
        <v>62</v>
      </c>
      <c r="B3" t="s">
        <v>77</v>
      </c>
      <c r="C3" t="s">
        <v>84</v>
      </c>
      <c r="D3" t="s">
        <v>91</v>
      </c>
      <c r="E3" t="s">
        <v>98</v>
      </c>
      <c r="F3" t="s">
        <v>105</v>
      </c>
      <c r="G3" t="s">
        <v>111</v>
      </c>
      <c r="H3" t="s">
        <v>111</v>
      </c>
      <c r="I3" t="s">
        <v>532</v>
      </c>
      <c r="J3" t="s">
        <v>534</v>
      </c>
      <c r="K3" t="s">
        <v>536</v>
      </c>
      <c r="L3" t="s">
        <v>538</v>
      </c>
      <c r="M3" t="s">
        <v>86</v>
      </c>
    </row>
    <row r="4" spans="1:13" x14ac:dyDescent="0.25">
      <c r="A4" t="s">
        <v>64</v>
      </c>
      <c r="B4" t="s">
        <v>79</v>
      </c>
      <c r="C4" t="s">
        <v>86</v>
      </c>
      <c r="D4" t="s">
        <v>93</v>
      </c>
      <c r="E4" t="s">
        <v>100</v>
      </c>
      <c r="F4" t="s">
        <v>107</v>
      </c>
      <c r="M4" t="s">
        <v>83</v>
      </c>
    </row>
    <row r="5" spans="1:13" x14ac:dyDescent="0.25">
      <c r="A5" t="s">
        <v>61</v>
      </c>
      <c r="B5" t="s">
        <v>76</v>
      </c>
      <c r="C5" t="s">
        <v>83</v>
      </c>
      <c r="D5" t="s">
        <v>90</v>
      </c>
      <c r="E5" t="s">
        <v>97</v>
      </c>
      <c r="F5" t="s">
        <v>104</v>
      </c>
      <c r="M5" t="s">
        <v>87</v>
      </c>
    </row>
    <row r="6" spans="1:13" x14ac:dyDescent="0.25">
      <c r="A6" t="s">
        <v>63</v>
      </c>
      <c r="B6" t="s">
        <v>78</v>
      </c>
      <c r="C6" t="s">
        <v>85</v>
      </c>
      <c r="D6" t="s">
        <v>92</v>
      </c>
      <c r="E6" t="s">
        <v>99</v>
      </c>
      <c r="F6" t="s">
        <v>106</v>
      </c>
    </row>
    <row r="7" spans="1:13" x14ac:dyDescent="0.25">
      <c r="A7" t="s">
        <v>65</v>
      </c>
      <c r="B7" t="s">
        <v>80</v>
      </c>
      <c r="C7" t="s">
        <v>87</v>
      </c>
      <c r="D7" t="s">
        <v>94</v>
      </c>
      <c r="E7" t="s">
        <v>101</v>
      </c>
      <c r="F7" t="s">
        <v>108</v>
      </c>
    </row>
  </sheetData>
  <sheetProtection algorithmName="SHA-512" hashValue="686TLCEWXNGJwnPoPVnBCtz6nDfF6Ue45NujIJZO1NcCDrbZHXQnO1ALGwGDspFsrzJVV1pG9LrvNbggqBWLIA==" saltValue="49nFOx8+rr+3X+Putia4hg==" spinCount="100000" sheet="1" selectLockedCells="1" selectUnlockedCells="1"/>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0752B-C238-4D9B-B45B-063C50AB17F9}">
  <sheetPr codeName="Sheet6"/>
  <dimension ref="A1:I7"/>
  <sheetViews>
    <sheetView zoomScale="90" workbookViewId="0">
      <selection activeCell="F8" sqref="F8"/>
    </sheetView>
  </sheetViews>
  <sheetFormatPr defaultRowHeight="15" x14ac:dyDescent="0.25"/>
  <cols>
    <col min="1" max="1" width="16.5703125" customWidth="1"/>
    <col min="2" max="2" width="14" customWidth="1"/>
    <col min="3" max="3" width="17.5703125" customWidth="1"/>
    <col min="4" max="4" width="17.85546875" customWidth="1"/>
    <col min="5" max="5" width="37.5703125" customWidth="1"/>
    <col min="6" max="6" width="37.140625" customWidth="1"/>
    <col min="7" max="7" width="101.42578125" bestFit="1" customWidth="1"/>
  </cols>
  <sheetData>
    <row r="1" spans="1:9" x14ac:dyDescent="0.25">
      <c r="A1" t="s">
        <v>117</v>
      </c>
      <c r="B1" t="s">
        <v>177</v>
      </c>
      <c r="C1" t="s">
        <v>179</v>
      </c>
      <c r="D1" t="s">
        <v>186</v>
      </c>
      <c r="E1" t="s">
        <v>193</v>
      </c>
      <c r="F1" t="s">
        <v>200</v>
      </c>
      <c r="G1" t="s">
        <v>204</v>
      </c>
      <c r="H1" t="s">
        <v>539</v>
      </c>
      <c r="I1" t="s">
        <v>528</v>
      </c>
    </row>
    <row r="2" spans="1:9" x14ac:dyDescent="0.25">
      <c r="A2" t="s">
        <v>171</v>
      </c>
      <c r="B2" t="s">
        <v>178</v>
      </c>
      <c r="C2" t="s">
        <v>180</v>
      </c>
      <c r="D2" t="s">
        <v>187</v>
      </c>
      <c r="E2" t="s">
        <v>194</v>
      </c>
      <c r="F2" t="s">
        <v>201</v>
      </c>
      <c r="G2" t="s">
        <v>205</v>
      </c>
      <c r="H2" t="s">
        <v>540</v>
      </c>
      <c r="I2" t="s">
        <v>542</v>
      </c>
    </row>
    <row r="3" spans="1:9" x14ac:dyDescent="0.25">
      <c r="A3" t="s">
        <v>173</v>
      </c>
      <c r="B3" t="s">
        <v>111</v>
      </c>
      <c r="C3" t="s">
        <v>182</v>
      </c>
      <c r="D3" t="s">
        <v>189</v>
      </c>
      <c r="E3" t="s">
        <v>196</v>
      </c>
      <c r="F3" t="s">
        <v>203</v>
      </c>
      <c r="G3" t="s">
        <v>207</v>
      </c>
      <c r="H3" t="s">
        <v>541</v>
      </c>
      <c r="I3" t="s">
        <v>538</v>
      </c>
    </row>
    <row r="4" spans="1:9" x14ac:dyDescent="0.25">
      <c r="A4" t="s">
        <v>175</v>
      </c>
      <c r="C4" t="s">
        <v>184</v>
      </c>
      <c r="D4" t="s">
        <v>191</v>
      </c>
      <c r="E4" t="s">
        <v>198</v>
      </c>
      <c r="F4" t="s">
        <v>202</v>
      </c>
      <c r="G4" t="s">
        <v>209</v>
      </c>
    </row>
    <row r="5" spans="1:9" x14ac:dyDescent="0.25">
      <c r="A5" t="s">
        <v>172</v>
      </c>
      <c r="C5" t="s">
        <v>181</v>
      </c>
      <c r="D5" t="s">
        <v>188</v>
      </c>
      <c r="E5" t="s">
        <v>195</v>
      </c>
      <c r="F5" t="s">
        <v>573</v>
      </c>
      <c r="G5" t="s">
        <v>206</v>
      </c>
    </row>
    <row r="6" spans="1:9" x14ac:dyDescent="0.25">
      <c r="A6" t="s">
        <v>174</v>
      </c>
      <c r="C6" t="s">
        <v>183</v>
      </c>
      <c r="D6" t="s">
        <v>190</v>
      </c>
      <c r="E6" t="s">
        <v>197</v>
      </c>
      <c r="G6" t="s">
        <v>208</v>
      </c>
    </row>
    <row r="7" spans="1:9" x14ac:dyDescent="0.25">
      <c r="A7" t="s">
        <v>176</v>
      </c>
      <c r="C7" t="s">
        <v>185</v>
      </c>
      <c r="D7" t="s">
        <v>192</v>
      </c>
      <c r="E7" t="s">
        <v>199</v>
      </c>
      <c r="G7" t="s">
        <v>210</v>
      </c>
    </row>
  </sheetData>
  <sheetProtection algorithmName="SHA-512" hashValue="2FqIdIZPCEm2pBaLCaqbWDVAd1RGh/5GZBEzdndutc2gO24TL63cmACHeClhuXONstM1y5NGWJoFyyfZEz/NAw==" saltValue="22yH2zQUz0u8Npor59Z9jw==" spinCount="100000" sheet="1" selectLockedCells="1" selectUnlockedCells="1"/>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5EB5C-3E65-4FCA-9C41-D06700B53FB9}">
  <sheetPr codeName="Sheet7"/>
  <dimension ref="A1:L7"/>
  <sheetViews>
    <sheetView workbookViewId="0">
      <selection activeCell="C35" sqref="C35"/>
    </sheetView>
  </sheetViews>
  <sheetFormatPr defaultRowHeight="15" x14ac:dyDescent="0.25"/>
  <cols>
    <col min="2" max="2" width="18" customWidth="1"/>
  </cols>
  <sheetData>
    <row r="1" spans="1:12" x14ac:dyDescent="0.25">
      <c r="A1" t="s">
        <v>211</v>
      </c>
      <c r="B1" t="s">
        <v>216</v>
      </c>
      <c r="C1" t="s">
        <v>179</v>
      </c>
      <c r="D1" t="s">
        <v>186</v>
      </c>
      <c r="E1" t="s">
        <v>193</v>
      </c>
      <c r="F1" t="s">
        <v>240</v>
      </c>
      <c r="G1" t="s">
        <v>247</v>
      </c>
      <c r="H1" t="s">
        <v>509</v>
      </c>
      <c r="I1" t="s">
        <v>543</v>
      </c>
      <c r="J1" t="s">
        <v>544</v>
      </c>
      <c r="K1" t="s">
        <v>480</v>
      </c>
      <c r="L1" t="s">
        <v>547</v>
      </c>
    </row>
    <row r="2" spans="1:12" x14ac:dyDescent="0.25">
      <c r="A2" t="s">
        <v>212</v>
      </c>
      <c r="B2" t="s">
        <v>217</v>
      </c>
      <c r="C2" t="s">
        <v>223</v>
      </c>
      <c r="D2" t="s">
        <v>229</v>
      </c>
      <c r="E2" t="s">
        <v>235</v>
      </c>
      <c r="F2" t="s">
        <v>241</v>
      </c>
      <c r="G2" t="s">
        <v>248</v>
      </c>
      <c r="H2" t="s">
        <v>171</v>
      </c>
      <c r="I2" t="s">
        <v>546</v>
      </c>
      <c r="J2" t="s">
        <v>261</v>
      </c>
      <c r="K2" t="s">
        <v>549</v>
      </c>
      <c r="L2" t="s">
        <v>550</v>
      </c>
    </row>
    <row r="3" spans="1:12" x14ac:dyDescent="0.25">
      <c r="A3" t="s">
        <v>214</v>
      </c>
      <c r="B3" t="s">
        <v>219</v>
      </c>
      <c r="C3" t="s">
        <v>225</v>
      </c>
      <c r="D3" t="s">
        <v>231</v>
      </c>
      <c r="E3" t="s">
        <v>237</v>
      </c>
      <c r="F3" t="s">
        <v>243</v>
      </c>
      <c r="G3" t="s">
        <v>250</v>
      </c>
      <c r="H3" t="s">
        <v>173</v>
      </c>
      <c r="I3" t="s">
        <v>545</v>
      </c>
      <c r="J3" t="s">
        <v>548</v>
      </c>
      <c r="K3" t="s">
        <v>538</v>
      </c>
      <c r="L3" t="s">
        <v>551</v>
      </c>
    </row>
    <row r="4" spans="1:12" x14ac:dyDescent="0.25">
      <c r="A4" t="s">
        <v>213</v>
      </c>
      <c r="B4" t="s">
        <v>221</v>
      </c>
      <c r="C4" t="s">
        <v>227</v>
      </c>
      <c r="D4" t="s">
        <v>233</v>
      </c>
      <c r="E4" t="s">
        <v>198</v>
      </c>
      <c r="F4" t="s">
        <v>245</v>
      </c>
      <c r="G4" t="s">
        <v>249</v>
      </c>
      <c r="H4" t="s">
        <v>510</v>
      </c>
      <c r="J4" t="s">
        <v>262</v>
      </c>
    </row>
    <row r="5" spans="1:12" x14ac:dyDescent="0.25">
      <c r="A5" t="s">
        <v>215</v>
      </c>
      <c r="B5" t="s">
        <v>218</v>
      </c>
      <c r="C5" t="s">
        <v>224</v>
      </c>
      <c r="D5" t="s">
        <v>230</v>
      </c>
      <c r="E5" t="s">
        <v>236</v>
      </c>
      <c r="F5" t="s">
        <v>242</v>
      </c>
      <c r="G5" t="s">
        <v>251</v>
      </c>
      <c r="H5" t="s">
        <v>172</v>
      </c>
      <c r="J5" t="s">
        <v>264</v>
      </c>
    </row>
    <row r="6" spans="1:12" x14ac:dyDescent="0.25">
      <c r="B6" t="s">
        <v>220</v>
      </c>
      <c r="C6" t="s">
        <v>226</v>
      </c>
      <c r="D6" t="s">
        <v>232</v>
      </c>
      <c r="E6" t="s">
        <v>238</v>
      </c>
      <c r="F6" t="s">
        <v>244</v>
      </c>
      <c r="H6" t="s">
        <v>174</v>
      </c>
    </row>
    <row r="7" spans="1:12" x14ac:dyDescent="0.25">
      <c r="B7" t="s">
        <v>222</v>
      </c>
      <c r="C7" t="s">
        <v>228</v>
      </c>
      <c r="D7" t="s">
        <v>234</v>
      </c>
      <c r="E7" t="s">
        <v>239</v>
      </c>
      <c r="F7" t="s">
        <v>246</v>
      </c>
      <c r="H7" t="s">
        <v>511</v>
      </c>
    </row>
  </sheetData>
  <sheetProtection algorithmName="SHA-512" hashValue="lFvyEHtBHPDd1XXvmPJd1/mkvvVvTJJu2XRkwwuhLjOq8+HSJbxKdblBMrY5h3ODZTZgvYO0oUJTcEcUMDNfkw==" saltValue="9g0BzK0mt3fDumsEbTEdIg==" spinCount="100000" sheet="1" objects="1" scenarios="1" selectLockedCells="1" selectUnlockedCell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B5C0E-955B-4CBA-BE12-C384A0F1DA9C}">
  <sheetPr codeName="Sheet8"/>
  <dimension ref="A1:I7"/>
  <sheetViews>
    <sheetView workbookViewId="0">
      <selection activeCell="C35" sqref="C35"/>
    </sheetView>
  </sheetViews>
  <sheetFormatPr defaultRowHeight="15" x14ac:dyDescent="0.25"/>
  <sheetData>
    <row r="1" spans="1:9" x14ac:dyDescent="0.25">
      <c r="A1" t="s">
        <v>252</v>
      </c>
      <c r="B1" t="s">
        <v>255</v>
      </c>
      <c r="C1" t="s">
        <v>260</v>
      </c>
      <c r="D1" t="s">
        <v>240</v>
      </c>
      <c r="E1" t="s">
        <v>271</v>
      </c>
      <c r="F1" t="s">
        <v>278</v>
      </c>
      <c r="G1" t="s">
        <v>514</v>
      </c>
      <c r="H1" t="s">
        <v>552</v>
      </c>
      <c r="I1" t="s">
        <v>553</v>
      </c>
    </row>
    <row r="2" spans="1:9" x14ac:dyDescent="0.25">
      <c r="A2" t="s">
        <v>253</v>
      </c>
      <c r="B2" t="s">
        <v>256</v>
      </c>
      <c r="C2" t="s">
        <v>261</v>
      </c>
      <c r="D2" t="s">
        <v>265</v>
      </c>
      <c r="E2" t="s">
        <v>272</v>
      </c>
      <c r="F2" t="s">
        <v>279</v>
      </c>
      <c r="G2" t="s">
        <v>171</v>
      </c>
      <c r="H2" t="s">
        <v>554</v>
      </c>
      <c r="I2" t="s">
        <v>556</v>
      </c>
    </row>
    <row r="3" spans="1:9" x14ac:dyDescent="0.25">
      <c r="A3" t="s">
        <v>254</v>
      </c>
      <c r="B3" t="s">
        <v>258</v>
      </c>
      <c r="C3" t="s">
        <v>263</v>
      </c>
      <c r="D3" t="s">
        <v>267</v>
      </c>
      <c r="E3" t="s">
        <v>274</v>
      </c>
      <c r="F3" t="s">
        <v>281</v>
      </c>
      <c r="G3" t="s">
        <v>173</v>
      </c>
      <c r="H3" t="s">
        <v>555</v>
      </c>
      <c r="I3" t="s">
        <v>557</v>
      </c>
    </row>
    <row r="4" spans="1:9" x14ac:dyDescent="0.25">
      <c r="B4" t="s">
        <v>257</v>
      </c>
      <c r="C4" t="s">
        <v>262</v>
      </c>
      <c r="D4" t="s">
        <v>269</v>
      </c>
      <c r="E4" t="s">
        <v>276</v>
      </c>
      <c r="F4" t="s">
        <v>280</v>
      </c>
      <c r="G4" t="s">
        <v>515</v>
      </c>
    </row>
    <row r="5" spans="1:9" x14ac:dyDescent="0.25">
      <c r="B5" t="s">
        <v>259</v>
      </c>
      <c r="C5" t="s">
        <v>264</v>
      </c>
      <c r="D5" t="s">
        <v>266</v>
      </c>
      <c r="E5" t="s">
        <v>273</v>
      </c>
      <c r="F5" t="s">
        <v>282</v>
      </c>
      <c r="G5" t="s">
        <v>172</v>
      </c>
    </row>
    <row r="6" spans="1:9" x14ac:dyDescent="0.25">
      <c r="D6" t="s">
        <v>268</v>
      </c>
      <c r="E6" t="s">
        <v>275</v>
      </c>
      <c r="G6" t="s">
        <v>174</v>
      </c>
    </row>
    <row r="7" spans="1:9" x14ac:dyDescent="0.25">
      <c r="D7" t="s">
        <v>270</v>
      </c>
      <c r="E7" t="s">
        <v>277</v>
      </c>
      <c r="G7" t="s">
        <v>516</v>
      </c>
    </row>
  </sheetData>
  <sheetProtection algorithmName="SHA-512" hashValue="d9CQ6xM3Qe+r4B9/v3QtAxEJGX0V6/3rQyC+H/Tuv99+FmlcyWx18739wbsnPxu9EwWqbOYCiNvdwGqiOwUjwA==" saltValue="E4NEGqbGDajPEGM2+NwQ8A==" spinCount="100000" sheet="1" selectLockedCells="1" selectUnlockedCell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29CE1-8623-4684-B0E8-55C17C878F2D}">
  <sheetPr codeName="Sheet9"/>
  <dimension ref="A1:I7"/>
  <sheetViews>
    <sheetView workbookViewId="0">
      <selection activeCell="C35" sqref="C35"/>
    </sheetView>
  </sheetViews>
  <sheetFormatPr defaultRowHeight="15" x14ac:dyDescent="0.25"/>
  <sheetData>
    <row r="1" spans="1:9" x14ac:dyDescent="0.25">
      <c r="A1" t="s">
        <v>177</v>
      </c>
      <c r="B1" t="s">
        <v>287</v>
      </c>
      <c r="C1" t="s">
        <v>294</v>
      </c>
      <c r="D1" t="s">
        <v>299</v>
      </c>
      <c r="E1" t="s">
        <v>278</v>
      </c>
      <c r="F1" t="s">
        <v>312</v>
      </c>
      <c r="G1" t="s">
        <v>319</v>
      </c>
      <c r="H1" t="s">
        <v>117</v>
      </c>
      <c r="I1" t="s">
        <v>528</v>
      </c>
    </row>
    <row r="2" spans="1:9" x14ac:dyDescent="0.25">
      <c r="A2" t="s">
        <v>283</v>
      </c>
      <c r="B2" t="s">
        <v>288</v>
      </c>
      <c r="C2" t="s">
        <v>295</v>
      </c>
      <c r="D2" t="s">
        <v>300</v>
      </c>
      <c r="E2" t="s">
        <v>306</v>
      </c>
      <c r="F2" t="s">
        <v>313</v>
      </c>
      <c r="G2" t="s">
        <v>320</v>
      </c>
      <c r="H2" t="s">
        <v>171</v>
      </c>
      <c r="I2" t="s">
        <v>558</v>
      </c>
    </row>
    <row r="3" spans="1:9" x14ac:dyDescent="0.25">
      <c r="A3" t="s">
        <v>285</v>
      </c>
      <c r="B3" t="s">
        <v>290</v>
      </c>
      <c r="C3" t="s">
        <v>297</v>
      </c>
      <c r="D3" t="s">
        <v>302</v>
      </c>
      <c r="E3" t="s">
        <v>308</v>
      </c>
      <c r="F3" t="s">
        <v>315</v>
      </c>
      <c r="G3" t="s">
        <v>322</v>
      </c>
      <c r="H3" t="s">
        <v>173</v>
      </c>
      <c r="I3" t="s">
        <v>557</v>
      </c>
    </row>
    <row r="4" spans="1:9" x14ac:dyDescent="0.25">
      <c r="A4" t="s">
        <v>284</v>
      </c>
      <c r="B4" t="s">
        <v>292</v>
      </c>
      <c r="C4" t="s">
        <v>296</v>
      </c>
      <c r="D4" t="s">
        <v>304</v>
      </c>
      <c r="E4" t="s">
        <v>310</v>
      </c>
      <c r="F4" t="s">
        <v>317</v>
      </c>
      <c r="G4" t="s">
        <v>324</v>
      </c>
      <c r="H4" t="s">
        <v>512</v>
      </c>
    </row>
    <row r="5" spans="1:9" x14ac:dyDescent="0.25">
      <c r="A5" t="s">
        <v>286</v>
      </c>
      <c r="B5" t="s">
        <v>289</v>
      </c>
      <c r="C5" t="s">
        <v>298</v>
      </c>
      <c r="D5" t="s">
        <v>301</v>
      </c>
      <c r="E5" t="s">
        <v>307</v>
      </c>
      <c r="F5" t="s">
        <v>314</v>
      </c>
      <c r="G5" t="s">
        <v>321</v>
      </c>
      <c r="H5" t="s">
        <v>172</v>
      </c>
    </row>
    <row r="6" spans="1:9" x14ac:dyDescent="0.25">
      <c r="B6" t="s">
        <v>291</v>
      </c>
      <c r="D6" t="s">
        <v>303</v>
      </c>
      <c r="E6" t="s">
        <v>309</v>
      </c>
      <c r="F6" t="s">
        <v>316</v>
      </c>
      <c r="G6" t="s">
        <v>323</v>
      </c>
      <c r="H6" t="s">
        <v>174</v>
      </c>
    </row>
    <row r="7" spans="1:9" x14ac:dyDescent="0.25">
      <c r="B7" t="s">
        <v>293</v>
      </c>
      <c r="D7" t="s">
        <v>305</v>
      </c>
      <c r="E7" t="s">
        <v>311</v>
      </c>
      <c r="F7" t="s">
        <v>318</v>
      </c>
      <c r="G7" t="s">
        <v>325</v>
      </c>
      <c r="H7" t="s">
        <v>513</v>
      </c>
    </row>
  </sheetData>
  <sheetProtection algorithmName="SHA-512" hashValue="tjQhVp3TVjYtLCC++Gwljvnj6+sXU+vMjcLh7ReyAG/EhcsJ1LQCJ8/RJlZLAnbvk/6OuBZzLKqnffN4NEaEPw==" saltValue="djMA2mgGaSVsoio1sJhfVA==" spinCount="100000" sheet="1" objects="1" scenarios="1" selectLockedCells="1" selectUnlockedCell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2EED8-3891-45E9-A8EB-A402652F7D5E}">
  <sheetPr codeName="Sheet10"/>
  <dimension ref="A1:H9"/>
  <sheetViews>
    <sheetView workbookViewId="0">
      <selection activeCell="C35" sqref="C35"/>
    </sheetView>
  </sheetViews>
  <sheetFormatPr defaultRowHeight="15" x14ac:dyDescent="0.25"/>
  <sheetData>
    <row r="1" spans="1:8" x14ac:dyDescent="0.25">
      <c r="A1" t="s">
        <v>326</v>
      </c>
      <c r="B1" t="s">
        <v>252</v>
      </c>
      <c r="C1" t="s">
        <v>299</v>
      </c>
      <c r="D1" t="s">
        <v>339</v>
      </c>
      <c r="E1" t="s">
        <v>344</v>
      </c>
      <c r="F1" t="s">
        <v>278</v>
      </c>
      <c r="G1" t="s">
        <v>312</v>
      </c>
      <c r="H1" t="s">
        <v>365</v>
      </c>
    </row>
    <row r="2" spans="1:8" x14ac:dyDescent="0.25">
      <c r="A2" t="s">
        <v>327</v>
      </c>
      <c r="B2" t="s">
        <v>333</v>
      </c>
      <c r="C2" t="s">
        <v>335</v>
      </c>
      <c r="D2" t="s">
        <v>340</v>
      </c>
      <c r="E2" t="s">
        <v>345</v>
      </c>
      <c r="F2" t="s">
        <v>351</v>
      </c>
      <c r="G2" t="s">
        <v>359</v>
      </c>
      <c r="H2" t="s">
        <v>366</v>
      </c>
    </row>
    <row r="3" spans="1:8" x14ac:dyDescent="0.25">
      <c r="A3" t="s">
        <v>329</v>
      </c>
      <c r="B3" t="s">
        <v>334</v>
      </c>
      <c r="C3" t="s">
        <v>337</v>
      </c>
      <c r="D3" t="s">
        <v>342</v>
      </c>
      <c r="E3" t="s">
        <v>347</v>
      </c>
      <c r="F3" t="s">
        <v>353</v>
      </c>
      <c r="G3" t="s">
        <v>361</v>
      </c>
      <c r="H3" t="s">
        <v>368</v>
      </c>
    </row>
    <row r="4" spans="1:8" x14ac:dyDescent="0.25">
      <c r="A4" t="s">
        <v>331</v>
      </c>
      <c r="C4" t="s">
        <v>336</v>
      </c>
      <c r="D4" t="s">
        <v>341</v>
      </c>
      <c r="E4" t="s">
        <v>349</v>
      </c>
      <c r="F4" t="s">
        <v>355</v>
      </c>
      <c r="G4" t="s">
        <v>363</v>
      </c>
      <c r="H4" t="s">
        <v>370</v>
      </c>
    </row>
    <row r="5" spans="1:8" x14ac:dyDescent="0.25">
      <c r="A5" t="s">
        <v>328</v>
      </c>
      <c r="C5" t="s">
        <v>338</v>
      </c>
      <c r="D5" t="s">
        <v>343</v>
      </c>
      <c r="E5" t="s">
        <v>346</v>
      </c>
      <c r="F5" t="s">
        <v>357</v>
      </c>
      <c r="G5" t="s">
        <v>360</v>
      </c>
      <c r="H5" t="s">
        <v>367</v>
      </c>
    </row>
    <row r="6" spans="1:8" x14ac:dyDescent="0.25">
      <c r="A6" t="s">
        <v>330</v>
      </c>
      <c r="E6" t="s">
        <v>348</v>
      </c>
      <c r="F6" t="s">
        <v>352</v>
      </c>
      <c r="G6" t="s">
        <v>362</v>
      </c>
      <c r="H6" t="s">
        <v>369</v>
      </c>
    </row>
    <row r="7" spans="1:8" x14ac:dyDescent="0.25">
      <c r="A7" t="s">
        <v>332</v>
      </c>
      <c r="E7" t="s">
        <v>350</v>
      </c>
      <c r="F7" t="s">
        <v>354</v>
      </c>
      <c r="G7" t="s">
        <v>364</v>
      </c>
      <c r="H7" t="s">
        <v>371</v>
      </c>
    </row>
    <row r="8" spans="1:8" x14ac:dyDescent="0.25">
      <c r="F8" t="s">
        <v>356</v>
      </c>
    </row>
    <row r="9" spans="1:8" x14ac:dyDescent="0.25">
      <c r="F9" t="s">
        <v>358</v>
      </c>
    </row>
  </sheetData>
  <sheetProtection algorithmName="SHA-512" hashValue="+8yPi/qOrgA2MO5JT3EYmxoqG5FJ4Ga4NcYB+NS9b9zraaOZpmKvN32UTSUNSaX608i+bJp8iOFAfH3leH7WBw==" saltValue="S9vOVGmeWj2FHvpVcNf+xg==" spinCount="100000" sheet="1" objects="1" scenarios="1" selectLockedCells="1" selectUnlockedCell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9B82F-6D99-4CAD-A8D3-F621F8766B41}">
  <sheetPr codeName="Sheet11"/>
  <dimension ref="A1:I7"/>
  <sheetViews>
    <sheetView workbookViewId="0">
      <selection activeCell="C35" sqref="C35"/>
    </sheetView>
  </sheetViews>
  <sheetFormatPr defaultRowHeight="15" x14ac:dyDescent="0.25"/>
  <sheetData>
    <row r="1" spans="1:9" x14ac:dyDescent="0.25">
      <c r="A1" t="s">
        <v>326</v>
      </c>
      <c r="B1" t="s">
        <v>252</v>
      </c>
      <c r="C1" t="s">
        <v>278</v>
      </c>
      <c r="D1" t="s">
        <v>312</v>
      </c>
      <c r="E1" t="s">
        <v>386</v>
      </c>
      <c r="F1" t="s">
        <v>390</v>
      </c>
      <c r="G1" t="s">
        <v>397</v>
      </c>
      <c r="I1" t="s">
        <v>559</v>
      </c>
    </row>
    <row r="2" spans="1:9" x14ac:dyDescent="0.25">
      <c r="A2" t="s">
        <v>327</v>
      </c>
      <c r="B2" t="s">
        <v>372</v>
      </c>
      <c r="C2" t="s">
        <v>374</v>
      </c>
      <c r="D2" t="s">
        <v>380</v>
      </c>
      <c r="E2" t="s">
        <v>366</v>
      </c>
      <c r="F2" t="s">
        <v>391</v>
      </c>
      <c r="G2" t="s">
        <v>398</v>
      </c>
      <c r="I2" t="s">
        <v>560</v>
      </c>
    </row>
    <row r="3" spans="1:9" x14ac:dyDescent="0.25">
      <c r="A3" t="s">
        <v>329</v>
      </c>
      <c r="B3" t="s">
        <v>373</v>
      </c>
      <c r="C3" t="s">
        <v>376</v>
      </c>
      <c r="D3" t="s">
        <v>382</v>
      </c>
      <c r="E3" t="s">
        <v>368</v>
      </c>
      <c r="F3" t="s">
        <v>393</v>
      </c>
      <c r="G3" t="s">
        <v>400</v>
      </c>
      <c r="I3" t="s">
        <v>561</v>
      </c>
    </row>
    <row r="4" spans="1:9" x14ac:dyDescent="0.25">
      <c r="A4" t="s">
        <v>331</v>
      </c>
      <c r="C4" t="s">
        <v>378</v>
      </c>
      <c r="D4" t="s">
        <v>384</v>
      </c>
      <c r="E4" t="s">
        <v>388</v>
      </c>
      <c r="F4" t="s">
        <v>395</v>
      </c>
      <c r="G4" t="s">
        <v>402</v>
      </c>
    </row>
    <row r="5" spans="1:9" x14ac:dyDescent="0.25">
      <c r="A5" t="s">
        <v>328</v>
      </c>
      <c r="C5" t="s">
        <v>375</v>
      </c>
      <c r="D5" t="s">
        <v>381</v>
      </c>
      <c r="E5" t="s">
        <v>367</v>
      </c>
      <c r="F5" t="s">
        <v>392</v>
      </c>
      <c r="G5" t="s">
        <v>399</v>
      </c>
    </row>
    <row r="6" spans="1:9" x14ac:dyDescent="0.25">
      <c r="A6" t="s">
        <v>330</v>
      </c>
      <c r="C6" t="s">
        <v>377</v>
      </c>
      <c r="D6" t="s">
        <v>383</v>
      </c>
      <c r="E6" t="s">
        <v>387</v>
      </c>
      <c r="F6" t="s">
        <v>394</v>
      </c>
      <c r="G6" t="s">
        <v>401</v>
      </c>
    </row>
    <row r="7" spans="1:9" x14ac:dyDescent="0.25">
      <c r="A7" t="s">
        <v>332</v>
      </c>
      <c r="C7" t="s">
        <v>379</v>
      </c>
      <c r="D7" t="s">
        <v>385</v>
      </c>
      <c r="E7" t="s">
        <v>389</v>
      </c>
      <c r="F7" t="s">
        <v>396</v>
      </c>
      <c r="G7" t="s">
        <v>403</v>
      </c>
    </row>
  </sheetData>
  <sheetProtection algorithmName="SHA-512" hashValue="Y/pG6NFD01Ytgc1LygGR4Q5i3q6MW2Ahq4womeN4dvA2A8wSOU077+ziuzo8sYwPDcKAi+qGA8SF/elhL7adiQ==" saltValue="fESaqEeBbgGJjA47ZVtU6g==" spinCount="100000" sheet="1" objects="1" scenarios="1" selectLockedCells="1" selectUnlockedCell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E5868-991C-49EC-9692-FCB44D3AE10B}">
  <sheetPr codeName="Sheet12"/>
  <dimension ref="A1:H9"/>
  <sheetViews>
    <sheetView workbookViewId="0">
      <selection activeCell="C35" sqref="C35"/>
    </sheetView>
  </sheetViews>
  <sheetFormatPr defaultRowHeight="15" x14ac:dyDescent="0.25"/>
  <sheetData>
    <row r="1" spans="1:8" x14ac:dyDescent="0.25">
      <c r="A1" t="s">
        <v>404</v>
      </c>
      <c r="B1" t="s">
        <v>177</v>
      </c>
      <c r="C1" t="s">
        <v>409</v>
      </c>
      <c r="D1" t="s">
        <v>412</v>
      </c>
      <c r="E1" t="s">
        <v>278</v>
      </c>
      <c r="F1" t="s">
        <v>312</v>
      </c>
      <c r="G1" t="s">
        <v>386</v>
      </c>
      <c r="H1" t="s">
        <v>435</v>
      </c>
    </row>
    <row r="2" spans="1:8" x14ac:dyDescent="0.25">
      <c r="A2" t="s">
        <v>405</v>
      </c>
      <c r="B2" t="s">
        <v>407</v>
      </c>
      <c r="C2" t="s">
        <v>410</v>
      </c>
      <c r="D2" t="s">
        <v>413</v>
      </c>
      <c r="E2" t="s">
        <v>417</v>
      </c>
      <c r="F2" t="s">
        <v>423</v>
      </c>
      <c r="G2" t="s">
        <v>429</v>
      </c>
      <c r="H2" t="s">
        <v>436</v>
      </c>
    </row>
    <row r="3" spans="1:8" x14ac:dyDescent="0.25">
      <c r="A3" t="s">
        <v>406</v>
      </c>
      <c r="B3" t="s">
        <v>408</v>
      </c>
      <c r="C3" t="s">
        <v>411</v>
      </c>
      <c r="D3" t="s">
        <v>415</v>
      </c>
      <c r="E3" t="s">
        <v>419</v>
      </c>
      <c r="F3" t="s">
        <v>425</v>
      </c>
      <c r="G3" t="s">
        <v>431</v>
      </c>
      <c r="H3" t="s">
        <v>438</v>
      </c>
    </row>
    <row r="4" spans="1:8" x14ac:dyDescent="0.25">
      <c r="D4" t="s">
        <v>414</v>
      </c>
      <c r="E4" t="s">
        <v>421</v>
      </c>
      <c r="F4" t="s">
        <v>427</v>
      </c>
      <c r="G4" t="s">
        <v>433</v>
      </c>
      <c r="H4" t="s">
        <v>440</v>
      </c>
    </row>
    <row r="5" spans="1:8" x14ac:dyDescent="0.25">
      <c r="D5" t="s">
        <v>416</v>
      </c>
      <c r="E5" t="s">
        <v>418</v>
      </c>
      <c r="F5" t="s">
        <v>424</v>
      </c>
      <c r="G5" t="s">
        <v>430</v>
      </c>
      <c r="H5" t="s">
        <v>442</v>
      </c>
    </row>
    <row r="6" spans="1:8" x14ac:dyDescent="0.25">
      <c r="E6" t="s">
        <v>420</v>
      </c>
      <c r="F6" t="s">
        <v>426</v>
      </c>
      <c r="G6" t="s">
        <v>432</v>
      </c>
      <c r="H6" t="s">
        <v>437</v>
      </c>
    </row>
    <row r="7" spans="1:8" x14ac:dyDescent="0.25">
      <c r="E7" t="s">
        <v>422</v>
      </c>
      <c r="F7" t="s">
        <v>428</v>
      </c>
      <c r="G7" t="s">
        <v>434</v>
      </c>
      <c r="H7" t="s">
        <v>439</v>
      </c>
    </row>
    <row r="8" spans="1:8" x14ac:dyDescent="0.25">
      <c r="H8" t="s">
        <v>441</v>
      </c>
    </row>
    <row r="9" spans="1:8" x14ac:dyDescent="0.25">
      <c r="H9" t="s">
        <v>443</v>
      </c>
    </row>
  </sheetData>
  <sheetProtection algorithmName="SHA-512" hashValue="nAyTIksg2QAMe5rkGfz4XvNu//Gma26Yu9Wa8MFljCQRxQ0TiuT8iH0DDgHItMZvQX5gaB7fX3r6ywrVl61/jg==" saltValue="9rfU4rvm2cighocyovAxAg==" spinCount="100000" sheet="1" objects="1" scenarios="1" selectLockedCells="1" selectUnlockedCell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09253-F493-48CB-8C9F-57D4E3A8CF5F}">
  <sheetPr codeName="Sheet13"/>
  <dimension ref="A1:G11"/>
  <sheetViews>
    <sheetView workbookViewId="0">
      <selection activeCell="C35" sqref="C35"/>
    </sheetView>
  </sheetViews>
  <sheetFormatPr defaultRowHeight="15" x14ac:dyDescent="0.25"/>
  <sheetData>
    <row r="1" spans="1:7" x14ac:dyDescent="0.25">
      <c r="A1" t="s">
        <v>177</v>
      </c>
      <c r="B1" t="s">
        <v>446</v>
      </c>
      <c r="C1" t="s">
        <v>278</v>
      </c>
      <c r="D1" t="s">
        <v>312</v>
      </c>
      <c r="E1" t="s">
        <v>386</v>
      </c>
      <c r="F1" t="s">
        <v>456</v>
      </c>
      <c r="G1" t="s">
        <v>459</v>
      </c>
    </row>
    <row r="2" spans="1:7" x14ac:dyDescent="0.25">
      <c r="A2" t="s">
        <v>444</v>
      </c>
      <c r="B2" t="s">
        <v>447</v>
      </c>
      <c r="C2" t="s">
        <v>451</v>
      </c>
      <c r="D2" t="s">
        <v>423</v>
      </c>
      <c r="E2" t="s">
        <v>429</v>
      </c>
      <c r="F2" t="s">
        <v>436</v>
      </c>
      <c r="G2" t="s">
        <v>460</v>
      </c>
    </row>
    <row r="3" spans="1:7" x14ac:dyDescent="0.25">
      <c r="A3" t="s">
        <v>445</v>
      </c>
      <c r="B3" t="s">
        <v>449</v>
      </c>
      <c r="C3" t="s">
        <v>453</v>
      </c>
      <c r="D3" t="s">
        <v>425</v>
      </c>
      <c r="E3" t="s">
        <v>431</v>
      </c>
      <c r="F3" t="s">
        <v>438</v>
      </c>
      <c r="G3" t="s">
        <v>462</v>
      </c>
    </row>
    <row r="4" spans="1:7" x14ac:dyDescent="0.25">
      <c r="B4" t="s">
        <v>448</v>
      </c>
      <c r="C4" t="s">
        <v>455</v>
      </c>
      <c r="D4" t="s">
        <v>427</v>
      </c>
      <c r="E4" t="s">
        <v>433</v>
      </c>
      <c r="F4" t="s">
        <v>440</v>
      </c>
      <c r="G4" t="s">
        <v>461</v>
      </c>
    </row>
    <row r="5" spans="1:7" x14ac:dyDescent="0.25">
      <c r="B5" t="s">
        <v>450</v>
      </c>
      <c r="C5" t="s">
        <v>452</v>
      </c>
      <c r="D5" t="s">
        <v>424</v>
      </c>
      <c r="E5" t="s">
        <v>430</v>
      </c>
      <c r="F5" t="s">
        <v>442</v>
      </c>
      <c r="G5" t="s">
        <v>463</v>
      </c>
    </row>
    <row r="6" spans="1:7" x14ac:dyDescent="0.25">
      <c r="C6" t="s">
        <v>454</v>
      </c>
      <c r="D6" t="s">
        <v>426</v>
      </c>
      <c r="E6" t="s">
        <v>432</v>
      </c>
      <c r="F6" t="s">
        <v>457</v>
      </c>
    </row>
    <row r="7" spans="1:7" x14ac:dyDescent="0.25">
      <c r="C7" t="s">
        <v>379</v>
      </c>
      <c r="D7" t="s">
        <v>428</v>
      </c>
      <c r="E7" t="s">
        <v>434</v>
      </c>
      <c r="F7" t="s">
        <v>437</v>
      </c>
    </row>
    <row r="8" spans="1:7" x14ac:dyDescent="0.25">
      <c r="F8" t="s">
        <v>439</v>
      </c>
    </row>
    <row r="9" spans="1:7" x14ac:dyDescent="0.25">
      <c r="F9" t="s">
        <v>441</v>
      </c>
    </row>
    <row r="10" spans="1:7" x14ac:dyDescent="0.25">
      <c r="F10" t="s">
        <v>443</v>
      </c>
    </row>
    <row r="11" spans="1:7" x14ac:dyDescent="0.25">
      <c r="F11" t="s">
        <v>458</v>
      </c>
    </row>
  </sheetData>
  <sheetProtection algorithmName="SHA-512" hashValue="FFOBDPyAjmBlX+/yJZ00r3U6WJc150wMM7XI4wbjWTB3xP11572t9ul3ZrBdweanp7Ou+99qT77hALOR37+Z1Q==" saltValue="GtewXJiNss1p5MQqUY8Y7Q==" spinCount="100000" sheet="1" objects="1" scenarios="1" selectLockedCells="1" selectUnlockedCell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A3944-AD39-43AC-88BC-6ECF6287EFA2}">
  <sheetPr codeName="Sheet14"/>
  <dimension ref="A1:F11"/>
  <sheetViews>
    <sheetView workbookViewId="0">
      <selection activeCell="C35" sqref="C35"/>
    </sheetView>
  </sheetViews>
  <sheetFormatPr defaultRowHeight="15" x14ac:dyDescent="0.25"/>
  <sheetData>
    <row r="1" spans="1:6" x14ac:dyDescent="0.25">
      <c r="A1" t="s">
        <v>252</v>
      </c>
      <c r="B1" t="s">
        <v>278</v>
      </c>
      <c r="C1" t="s">
        <v>312</v>
      </c>
      <c r="D1" t="s">
        <v>386</v>
      </c>
      <c r="E1" t="s">
        <v>456</v>
      </c>
      <c r="F1" t="s">
        <v>467</v>
      </c>
    </row>
    <row r="2" spans="1:6" x14ac:dyDescent="0.25">
      <c r="A2" t="s">
        <v>464</v>
      </c>
      <c r="B2" t="s">
        <v>451</v>
      </c>
      <c r="C2" t="s">
        <v>423</v>
      </c>
      <c r="D2" t="s">
        <v>429</v>
      </c>
      <c r="E2" t="s">
        <v>436</v>
      </c>
      <c r="F2" t="s">
        <v>468</v>
      </c>
    </row>
    <row r="3" spans="1:6" x14ac:dyDescent="0.25">
      <c r="A3" t="s">
        <v>465</v>
      </c>
      <c r="B3" t="s">
        <v>453</v>
      </c>
      <c r="C3" t="s">
        <v>425</v>
      </c>
      <c r="D3" t="s">
        <v>466</v>
      </c>
      <c r="E3" t="s">
        <v>438</v>
      </c>
      <c r="F3" t="s">
        <v>470</v>
      </c>
    </row>
    <row r="4" spans="1:6" x14ac:dyDescent="0.25">
      <c r="B4" t="s">
        <v>455</v>
      </c>
      <c r="C4" t="s">
        <v>427</v>
      </c>
      <c r="D4" t="s">
        <v>433</v>
      </c>
      <c r="E4" t="s">
        <v>440</v>
      </c>
      <c r="F4" t="s">
        <v>472</v>
      </c>
    </row>
    <row r="5" spans="1:6" x14ac:dyDescent="0.25">
      <c r="B5" t="s">
        <v>452</v>
      </c>
      <c r="C5" t="s">
        <v>424</v>
      </c>
      <c r="D5" t="s">
        <v>430</v>
      </c>
      <c r="E5" t="s">
        <v>442</v>
      </c>
      <c r="F5" t="s">
        <v>469</v>
      </c>
    </row>
    <row r="6" spans="1:6" x14ac:dyDescent="0.25">
      <c r="B6" t="s">
        <v>454</v>
      </c>
      <c r="C6" t="s">
        <v>426</v>
      </c>
      <c r="D6" t="s">
        <v>432</v>
      </c>
      <c r="E6" t="s">
        <v>457</v>
      </c>
      <c r="F6" t="s">
        <v>471</v>
      </c>
    </row>
    <row r="7" spans="1:6" x14ac:dyDescent="0.25">
      <c r="B7" t="s">
        <v>379</v>
      </c>
      <c r="C7" t="s">
        <v>428</v>
      </c>
      <c r="D7" t="s">
        <v>434</v>
      </c>
      <c r="E7" t="s">
        <v>437</v>
      </c>
      <c r="F7" t="s">
        <v>473</v>
      </c>
    </row>
    <row r="8" spans="1:6" x14ac:dyDescent="0.25">
      <c r="E8" t="s">
        <v>439</v>
      </c>
    </row>
    <row r="9" spans="1:6" x14ac:dyDescent="0.25">
      <c r="E9" t="s">
        <v>441</v>
      </c>
    </row>
    <row r="10" spans="1:6" x14ac:dyDescent="0.25">
      <c r="E10" t="s">
        <v>443</v>
      </c>
    </row>
    <row r="11" spans="1:6" x14ac:dyDescent="0.25">
      <c r="E11" t="s">
        <v>458</v>
      </c>
    </row>
  </sheetData>
  <sheetProtection algorithmName="SHA-512" hashValue="S55v1PS3NLPlyD0l2g3SnY6UoUbZ9kTt5zAxsm2BsNHgtU0HtXN6noBA070cZN+6H1QjouJJwj+ZeBhfi9wo1g==" saltValue="68myvyMKcP32nU9J+60H2Q==" spinCount="100000" sheet="1" objects="1" scenarios="1" selectLockedCells="1" selectUnlockedCell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03CD1-B5A8-4E94-8625-B4508D21B952}">
  <sheetPr codeName="Sheet16"/>
  <dimension ref="A1:C13"/>
  <sheetViews>
    <sheetView workbookViewId="0">
      <selection activeCell="C35" sqref="C35"/>
    </sheetView>
  </sheetViews>
  <sheetFormatPr defaultRowHeight="15" x14ac:dyDescent="0.25"/>
  <cols>
    <col min="1" max="1" width="14.28515625" customWidth="1"/>
    <col min="2" max="2" width="34.28515625" bestFit="1" customWidth="1"/>
    <col min="3" max="3" width="43.42578125" bestFit="1" customWidth="1"/>
  </cols>
  <sheetData>
    <row r="1" spans="1:3" ht="15.75" thickBot="1" x14ac:dyDescent="0.3">
      <c r="A1" s="5" t="str">
        <f>LevelsDD!$A$1</f>
        <v>Swim Kids 1</v>
      </c>
      <c r="B1" t="str">
        <f>LevelsDD!A2</f>
        <v>assisted flutter kick</v>
      </c>
      <c r="C1" t="str">
        <f>SUBSTITUTE(A1," ","") &amp; "_" &amp; SUBSTITUTE(B1," ","")</f>
        <v>SwimKids1_assistedflutterkick</v>
      </c>
    </row>
    <row r="2" spans="1:3" ht="15.75" thickBot="1" x14ac:dyDescent="0.3">
      <c r="A2" s="5" t="str">
        <f>LevelsDD!$A$1</f>
        <v>Swim Kids 1</v>
      </c>
      <c r="B2" t="str">
        <f>LevelsDD!A3</f>
        <v>distance swim</v>
      </c>
      <c r="C2" t="str">
        <f t="shared" ref="C2:C13" si="0">SUBSTITUTE(A2," ","") &amp; "_" &amp; SUBSTITUTE(B2," ","")</f>
        <v>SwimKids1_distanceswim</v>
      </c>
    </row>
    <row r="3" spans="1:3" ht="15.75" thickBot="1" x14ac:dyDescent="0.3">
      <c r="A3" s="5" t="str">
        <f>LevelsDD!$A$1</f>
        <v>Swim Kids 1</v>
      </c>
      <c r="B3" t="str">
        <f>LevelsDD!A4</f>
        <v>shallow water entries and exits</v>
      </c>
      <c r="C3" t="str">
        <f t="shared" si="0"/>
        <v>SwimKids1_shallowwaterentriesandexits</v>
      </c>
    </row>
    <row r="4" spans="1:3" ht="15.75" thickBot="1" x14ac:dyDescent="0.3">
      <c r="A4" s="5" t="str">
        <f>LevelsDD!$A$1</f>
        <v>Swim Kids 1</v>
      </c>
      <c r="B4" t="str">
        <f>LevelsDD!A5</f>
        <v>submerging their head</v>
      </c>
      <c r="C4" t="str">
        <f t="shared" si="0"/>
        <v>SwimKids1_submergingtheirhead</v>
      </c>
    </row>
    <row r="5" spans="1:3" ht="15.75" thickBot="1" x14ac:dyDescent="0.3">
      <c r="A5" s="5" t="str">
        <f>LevelsDD!$A$1</f>
        <v>Swim Kids 1</v>
      </c>
      <c r="B5" t="str">
        <f>LevelsDD!A6</f>
        <v>exhaling through their mouth and nose</v>
      </c>
      <c r="C5" t="str">
        <f t="shared" si="0"/>
        <v>SwimKids1_exhalingthroughtheirmouthandnose</v>
      </c>
    </row>
    <row r="6" spans="1:3" ht="15.75" thickBot="1" x14ac:dyDescent="0.3">
      <c r="A6" s="5" t="str">
        <f>LevelsDD!$A$1</f>
        <v>Swim Kids 1</v>
      </c>
      <c r="B6" t="str">
        <f>LevelsDD!A7</f>
        <v>rhythmic breathing</v>
      </c>
      <c r="C6" t="str">
        <f t="shared" si="0"/>
        <v>SwimKids1_rhythmicbreathing</v>
      </c>
    </row>
    <row r="7" spans="1:3" ht="15.75" thickBot="1" x14ac:dyDescent="0.3">
      <c r="A7" s="5" t="str">
        <f>LevelsDD!$A$1</f>
        <v>Swim Kids 1</v>
      </c>
      <c r="B7" t="str">
        <f>LevelsDD!A8</f>
        <v>front float and recovery</v>
      </c>
      <c r="C7" t="str">
        <f t="shared" si="0"/>
        <v>SwimKids1_frontfloatandrecovery</v>
      </c>
    </row>
    <row r="8" spans="1:3" ht="15.75" thickBot="1" x14ac:dyDescent="0.3">
      <c r="A8" s="5" t="str">
        <f>LevelsDD!$A$1</f>
        <v>Swim Kids 1</v>
      </c>
      <c r="B8" t="str">
        <f>LevelsDD!A9</f>
        <v>front glide</v>
      </c>
      <c r="C8" t="str">
        <f t="shared" si="0"/>
        <v>SwimKids1_frontglide</v>
      </c>
    </row>
    <row r="9" spans="1:3" ht="15.75" thickBot="1" x14ac:dyDescent="0.3">
      <c r="A9" s="5" t="str">
        <f>LevelsDD!$A$1</f>
        <v>Swim Kids 1</v>
      </c>
      <c r="B9" t="str">
        <f>LevelsDD!A10</f>
        <v>front glide with kick</v>
      </c>
      <c r="C9" t="str">
        <f t="shared" si="0"/>
        <v>SwimKids1_frontglidewithkick</v>
      </c>
    </row>
    <row r="10" spans="1:3" ht="15.75" thickBot="1" x14ac:dyDescent="0.3">
      <c r="A10" s="5" t="str">
        <f>LevelsDD!$A$1</f>
        <v>Swim Kids 1</v>
      </c>
      <c r="B10" t="str">
        <f>LevelsDD!A11</f>
        <v>back float and recovery</v>
      </c>
      <c r="C10" t="str">
        <f t="shared" si="0"/>
        <v>SwimKids1_backfloatandrecovery</v>
      </c>
    </row>
    <row r="11" spans="1:3" ht="15.75" thickBot="1" x14ac:dyDescent="0.3">
      <c r="A11" s="5" t="str">
        <f>LevelsDD!$A$1</f>
        <v>Swim Kids 1</v>
      </c>
      <c r="B11" t="str">
        <f>LevelsDD!A12</f>
        <v>back glide</v>
      </c>
      <c r="C11" t="str">
        <f t="shared" si="0"/>
        <v>SwimKids1_backglide</v>
      </c>
    </row>
    <row r="12" spans="1:3" ht="15.75" thickBot="1" x14ac:dyDescent="0.3">
      <c r="A12" s="5" t="str">
        <f>LevelsDD!$A$1</f>
        <v>Swim Kids 1</v>
      </c>
      <c r="B12" t="str">
        <f>LevelsDD!A13</f>
        <v>assisted roll over glides</v>
      </c>
      <c r="C12" t="str">
        <f t="shared" si="0"/>
        <v>SwimKids1_assistedrolloverglides</v>
      </c>
    </row>
    <row r="13" spans="1:3" ht="15.75" thickBot="1" x14ac:dyDescent="0.3">
      <c r="A13" s="5" t="str">
        <f>LevelsDD!$A$1</f>
        <v>Swim Kids 1</v>
      </c>
      <c r="B13" t="str">
        <f>LevelsDD!A14</f>
        <v>front swim</v>
      </c>
      <c r="C13" t="str">
        <f t="shared" si="0"/>
        <v>SwimKids1_frontswim</v>
      </c>
    </row>
  </sheetData>
  <phoneticPr fontId="6"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44DF7-8E5F-4755-A341-116CF880BE35}">
  <sheetPr codeName="Sheet15"/>
  <dimension ref="A1:G4"/>
  <sheetViews>
    <sheetView workbookViewId="0"/>
  </sheetViews>
  <sheetFormatPr defaultRowHeight="15" x14ac:dyDescent="0.25"/>
  <sheetData>
    <row r="1" spans="1:7" x14ac:dyDescent="0.25">
      <c r="A1" t="s">
        <v>29</v>
      </c>
    </row>
    <row r="2" spans="1:7" x14ac:dyDescent="0.25">
      <c r="A2" t="s">
        <v>29</v>
      </c>
      <c r="B2" t="s">
        <v>73</v>
      </c>
    </row>
    <row r="3" spans="1:7" x14ac:dyDescent="0.25">
      <c r="A3" t="s">
        <v>112</v>
      </c>
      <c r="B3" t="s">
        <v>60</v>
      </c>
      <c r="C3" t="s">
        <v>65</v>
      </c>
      <c r="D3" t="s">
        <v>64</v>
      </c>
      <c r="E3" t="s">
        <v>63</v>
      </c>
      <c r="F3" t="s">
        <v>62</v>
      </c>
      <c r="G3" t="s">
        <v>61</v>
      </c>
    </row>
    <row r="4" spans="1:7" x14ac:dyDescent="0.25">
      <c r="A4" t="s">
        <v>113</v>
      </c>
      <c r="B4" t="s">
        <v>114</v>
      </c>
      <c r="C4">
        <v>0</v>
      </c>
      <c r="D4">
        <v>3</v>
      </c>
      <c r="E4">
        <v>3</v>
      </c>
      <c r="F4" t="s">
        <v>115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D2D8E98-9FA5-43F3-A51C-9FE28D0D28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118</vt:i4>
      </vt:variant>
    </vt:vector>
  </HeadingPairs>
  <TitlesOfParts>
    <vt:vector size="134" baseType="lpstr">
      <vt:lpstr>Sheet1</vt:lpstr>
      <vt:lpstr>Data</vt:lpstr>
      <vt:lpstr>LevelsDD</vt:lpstr>
      <vt:lpstr>LevelsComments</vt:lpstr>
      <vt:lpstr>SK1Reason</vt:lpstr>
      <vt:lpstr>SK2Reason</vt:lpstr>
      <vt:lpstr>SK3Reason</vt:lpstr>
      <vt:lpstr>SK4Reason</vt:lpstr>
      <vt:lpstr>SK5Reason</vt:lpstr>
      <vt:lpstr>SK6Reason</vt:lpstr>
      <vt:lpstr>SK7Reason</vt:lpstr>
      <vt:lpstr>SK8Reason</vt:lpstr>
      <vt:lpstr>SK9Reason</vt:lpstr>
      <vt:lpstr>SK10Reason</vt:lpstr>
      <vt:lpstr>Sheet2</vt:lpstr>
      <vt:lpstr>List</vt:lpstr>
      <vt:lpstr>Closer</vt:lpstr>
      <vt:lpstr>CurrentSession</vt:lpstr>
      <vt:lpstr>Days</vt:lpstr>
      <vt:lpstr>Level</vt:lpstr>
      <vt:lpstr>NextLevelSession</vt:lpstr>
      <vt:lpstr>Opener</vt:lpstr>
      <vt:lpstr>SwimKids1</vt:lpstr>
      <vt:lpstr>SwimKids1_assistedflutterkick</vt:lpstr>
      <vt:lpstr>SwimKids1_assistedrolloverglides</vt:lpstr>
      <vt:lpstr>SwimKids1_backfloatandrecovery</vt:lpstr>
      <vt:lpstr>SwimKids1_backglide</vt:lpstr>
      <vt:lpstr>SwimKids1_Comm</vt:lpstr>
      <vt:lpstr>SwimKids1_distanceswim</vt:lpstr>
      <vt:lpstr>SwimKids1_exhalingthroughtheirmouthandnose</vt:lpstr>
      <vt:lpstr>SwimKids1_frontfloatandrecovery</vt:lpstr>
      <vt:lpstr>SwimKids1_frontglide</vt:lpstr>
      <vt:lpstr>SwimKids1_frontglidewithkick</vt:lpstr>
      <vt:lpstr>SwimKids1_frontswim</vt:lpstr>
      <vt:lpstr>SwimKids1_rhythmicbreathing</vt:lpstr>
      <vt:lpstr>SwimKids1_shallowwaterentriesandexits</vt:lpstr>
      <vt:lpstr>SwimKids1_submergingtheirhead</vt:lpstr>
      <vt:lpstr>SwimKids10</vt:lpstr>
      <vt:lpstr>SwimKids10_backcrawl</vt:lpstr>
      <vt:lpstr>SwimKids10_breaststroke</vt:lpstr>
      <vt:lpstr>SwimKids10_Comm</vt:lpstr>
      <vt:lpstr>SwimKids10_distanceswim</vt:lpstr>
      <vt:lpstr>SwimKids10_elementarybackstroke</vt:lpstr>
      <vt:lpstr>SwimKids10_frontcrawl</vt:lpstr>
      <vt:lpstr>SwimKids10_sidestroke</vt:lpstr>
      <vt:lpstr>SwimKids2</vt:lpstr>
      <vt:lpstr>SwimKids2_assisteddeepwateractivities</vt:lpstr>
      <vt:lpstr>SwimKids2_assistedflutterkick</vt:lpstr>
      <vt:lpstr>SwimKids2_assistedsideglidewithflutterkick</vt:lpstr>
      <vt:lpstr>SwimKids2_backglidewithflutterkick</vt:lpstr>
      <vt:lpstr>SwimKids2_Comm</vt:lpstr>
      <vt:lpstr>SwimKids2_distanceswim</vt:lpstr>
      <vt:lpstr>SwimKids2_frontglidewithflutterkick</vt:lpstr>
      <vt:lpstr>SwimKids2_frontswim</vt:lpstr>
      <vt:lpstr>SwimKids2_rhythmicbreathing</vt:lpstr>
      <vt:lpstr>SwimKids2_rolloverglidewithflutterkick</vt:lpstr>
      <vt:lpstr>SwimKids3</vt:lpstr>
      <vt:lpstr>SwimKids3_assistedfrontglidesideglidecombination</vt:lpstr>
      <vt:lpstr>SwimKids3_backglidewithflutterkick</vt:lpstr>
      <vt:lpstr>SwimKids3_Comm</vt:lpstr>
      <vt:lpstr>SwimKids3_deepwaterfloat</vt:lpstr>
      <vt:lpstr>SwimKids3_deepwatersurfacesupport</vt:lpstr>
      <vt:lpstr>SwimKids3_distanceswim</vt:lpstr>
      <vt:lpstr>SwimKids3_flutterkick</vt:lpstr>
      <vt:lpstr>SwimKids3_frontglidewithflutterkick</vt:lpstr>
      <vt:lpstr>SwimKids3_frontswim</vt:lpstr>
      <vt:lpstr>SwimKids3_jumpingin</vt:lpstr>
      <vt:lpstr>SwimKids3_rhythmicbreathing</vt:lpstr>
      <vt:lpstr>SwimKids3_sideglidewithflutterkick</vt:lpstr>
      <vt:lpstr>SwimKids3_sittingdive</vt:lpstr>
      <vt:lpstr>SwimKids4</vt:lpstr>
      <vt:lpstr>SwimKids4_backswimwithshoulderroll</vt:lpstr>
      <vt:lpstr>SwimKids4_Comm</vt:lpstr>
      <vt:lpstr>SwimKids4_distanceswim</vt:lpstr>
      <vt:lpstr>SwimKids4_flutterkickonback</vt:lpstr>
      <vt:lpstr>SwimKids4_frontcrawl</vt:lpstr>
      <vt:lpstr>SwimKids4_frontglidesideglidecombination</vt:lpstr>
      <vt:lpstr>SwimKids4_kneelingdive</vt:lpstr>
      <vt:lpstr>SwimKids4_rhythmicbreathing</vt:lpstr>
      <vt:lpstr>SwimKids4_scullinginshallowwater</vt:lpstr>
      <vt:lpstr>SwimKids4_surfacesupportindeepwater</vt:lpstr>
      <vt:lpstr>SwimKids5</vt:lpstr>
      <vt:lpstr>SwimKids5_backcrawl</vt:lpstr>
      <vt:lpstr>SwimKids5_Comm</vt:lpstr>
      <vt:lpstr>SwimKids5_distanceswim</vt:lpstr>
      <vt:lpstr>SwimKids5_flutterkick</vt:lpstr>
      <vt:lpstr>SwimKids5_frontcrawl</vt:lpstr>
      <vt:lpstr>SwimKids5_headfirstscullingonback</vt:lpstr>
      <vt:lpstr>SwimKids5_headfirstsurfacedive</vt:lpstr>
      <vt:lpstr>SwimKids5_rhythmicbreathing</vt:lpstr>
      <vt:lpstr>SwimKids5_stridedive</vt:lpstr>
      <vt:lpstr>SwimKids5_treadingwater</vt:lpstr>
      <vt:lpstr>SwimKids5_whipkickonback</vt:lpstr>
      <vt:lpstr>SwimKids6</vt:lpstr>
      <vt:lpstr>SwimKids6_backcrawl</vt:lpstr>
      <vt:lpstr>SwimKids6_Comm</vt:lpstr>
      <vt:lpstr>SwimKids6_distanceswim</vt:lpstr>
      <vt:lpstr>SwimKids6_dolphinkick</vt:lpstr>
      <vt:lpstr>SwimKids6_elementarybackstroke</vt:lpstr>
      <vt:lpstr>SwimKids6_frontcrawl</vt:lpstr>
      <vt:lpstr>SwimKids6_frontdive</vt:lpstr>
      <vt:lpstr>SwimKids6_headfirstscullingonback</vt:lpstr>
      <vt:lpstr>SwimKids6_headfirstsurfacedive</vt:lpstr>
      <vt:lpstr>SwimKids6_treadingwater</vt:lpstr>
      <vt:lpstr>SwimKids7</vt:lpstr>
      <vt:lpstr>SwimKids7_backcrawl</vt:lpstr>
      <vt:lpstr>SwimKids7_Comm</vt:lpstr>
      <vt:lpstr>SwimKids7_distanceswim</vt:lpstr>
      <vt:lpstr>SwimKids7_dolphinkick</vt:lpstr>
      <vt:lpstr>SwimKids7_elementarybackstroke</vt:lpstr>
      <vt:lpstr>SwimKids7_frontcrawl</vt:lpstr>
      <vt:lpstr>SwimKids7_frontscull</vt:lpstr>
      <vt:lpstr>SwimKids7_strideentry</vt:lpstr>
      <vt:lpstr>SwimKids7_whipkickonfront</vt:lpstr>
      <vt:lpstr>SwimKids8</vt:lpstr>
      <vt:lpstr>SwimKids8_backcrawl</vt:lpstr>
      <vt:lpstr>SwimKids8_breaststroke</vt:lpstr>
      <vt:lpstr>SwimKids8_Comm</vt:lpstr>
      <vt:lpstr>SwimKids8_distanceswim</vt:lpstr>
      <vt:lpstr>SwimKids8_eggbeater</vt:lpstr>
      <vt:lpstr>SwimKids8_elementarybackstroke</vt:lpstr>
      <vt:lpstr>SwimKids8_feetfirstsurfacedive</vt:lpstr>
      <vt:lpstr>SwimKids8_frontcrawl</vt:lpstr>
      <vt:lpstr>SwimKids8_standingshallowdive</vt:lpstr>
      <vt:lpstr>SwimKids9</vt:lpstr>
      <vt:lpstr>SwimKids9_backcrawl</vt:lpstr>
      <vt:lpstr>SwimKids9_breaststroke</vt:lpstr>
      <vt:lpstr>SwimKids9_Comm</vt:lpstr>
      <vt:lpstr>SwimKids9_distanceswim</vt:lpstr>
      <vt:lpstr>SwimKids9_elementarybackstroke</vt:lpstr>
      <vt:lpstr>SwimKids9_frontcrawl</vt:lpstr>
      <vt:lpstr>SwimKids9_headfirstsurfacedive</vt:lpstr>
      <vt:lpstr>SwimKids9_sidestrokekick</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Gregory Granovski</dc:creator>
  <cp:lastModifiedBy>Gregory Granovski</cp:lastModifiedBy>
  <dcterms:created xsi:type="dcterms:W3CDTF">2021-12-27T15:06:40Z</dcterms:created>
  <dcterms:modified xsi:type="dcterms:W3CDTF">2022-11-19T23:26:55Z</dcterms:modified>
</cp:coreProperties>
</file>