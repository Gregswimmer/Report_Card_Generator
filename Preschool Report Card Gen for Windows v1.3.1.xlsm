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gran\Documents\SRC Report Card Generator v1.3.1\"/>
    </mc:Choice>
  </mc:AlternateContent>
  <xr:revisionPtr revIDLastSave="0" documentId="8_{420EF3DE-29A8-402F-B328-CC22316AFCE1}" xr6:coauthVersionLast="47" xr6:coauthVersionMax="47" xr10:uidLastSave="{00000000-0000-0000-0000-000000000000}"/>
  <bookViews>
    <workbookView xWindow="-120" yWindow="-120" windowWidth="29040" windowHeight="15720" tabRatio="614" xr2:uid="{915324DB-A0D2-4EA5-8203-43FC2A2E259D}"/>
  </bookViews>
  <sheets>
    <sheet name="Sheet1" sheetId="1" r:id="rId1"/>
    <sheet name="Data" sheetId="2" r:id="rId2"/>
    <sheet name="LevelsDD" sheetId="3" r:id="rId3"/>
    <sheet name="LevelsComments" sheetId="7" r:id="rId4"/>
    <sheet name="SeaOtterReason" sheetId="18" r:id="rId5"/>
    <sheet name="SalamanderReason" sheetId="19" r:id="rId6"/>
    <sheet name="SunfishReason" sheetId="20" r:id="rId7"/>
    <sheet name="CrocodileReason" sheetId="21" r:id="rId8"/>
    <sheet name="WhaleReason" sheetId="22" r:id="rId9"/>
    <sheet name="Sheet2" sheetId="17" r:id="rId10"/>
    <sheet name="List" sheetId="6" state="hidden" r:id="rId11"/>
  </sheets>
  <definedNames>
    <definedName name="Closer">Data!$F$2:$F$4</definedName>
    <definedName name="Code">Sheet1!$Y$6:$Y$29</definedName>
    <definedName name="Crocodile">LevelsDD!$D$2:$D$11</definedName>
    <definedName name="Crocodile_backglidewithkick">CrocodileReason!$G$2:$G$7</definedName>
    <definedName name="Crocodile_backswim">CrocodileReason!$J$2:$J$5</definedName>
    <definedName name="Crocodile_Comm">LevelsComments!$D$2:$D$11</definedName>
    <definedName name="Crocodile_distanceswim">CrocodileReason!$B$2:$B$3</definedName>
    <definedName name="Crocodile_frontglidewithkick">CrocodileReason!$F$2:$F$7</definedName>
    <definedName name="Crocodile_frontswim">CrocodileReason!$I$2:$I$7</definedName>
    <definedName name="Crocodile_jumpingintodeepwatersurfacesupport">CrocodileReason!$D$2:$D$5</definedName>
    <definedName name="Crocodile_kickingwithabuoyantobject">CrocodileReason!$A$2:$A$5</definedName>
    <definedName name="Crocodile_rhythmicbreathing">CrocodileReason!$E$2:$E$5</definedName>
    <definedName name="Crocodile_sideglidewithkick">CrocodileReason!$H$2:$H$7</definedName>
    <definedName name="Crocodile_surfacesupport">CrocodileReason!$C$2:$C$3</definedName>
    <definedName name="CurrentSession">Data!$B$2:$B$6</definedName>
    <definedName name="Days">Data!$A$2:$A$9</definedName>
    <definedName name="Level">Data!$D$2:$D$6</definedName>
    <definedName name="NextLevelSession">Data!$G$2:$G$6</definedName>
    <definedName name="Opener">Data!$E$2:$E$4</definedName>
    <definedName name="Salamander">LevelsDD!$B$2:$B$11</definedName>
    <definedName name="Salamander_assistedsurfacesupport">SalamanderReason!$C$2:$C$5</definedName>
    <definedName name="Salamander_backfloatandrecovery">SalamanderReason!$F$2:$F$5</definedName>
    <definedName name="Salamander_backglidewithkick">SalamanderReason!$H$2:$H$5</definedName>
    <definedName name="Salamander_Comm">LevelsComments!$B$2:$B$11</definedName>
    <definedName name="Salamander_distanceswim">SalamanderReason!$B$2:$B$3</definedName>
    <definedName name="Salamander_frontfloatandrecovery">SalamanderReason!$E$2:$E$5</definedName>
    <definedName name="Salamander_frontglidewithkick">SalamanderReason!$G$2:$G$7</definedName>
    <definedName name="Salamander_frontswim">SalamanderReason!$J$2:$J$5</definedName>
    <definedName name="Salamander_kickingonfrontwithabuoyantobject">SalamanderReason!$A$2:$A$5</definedName>
    <definedName name="Salamander_rhythmicbreathing">SalamanderReason!$D$2:$D$7</definedName>
    <definedName name="Salamander_rolloverglides">SalamanderReason!$I$2:$I$5</definedName>
    <definedName name="SeaOtter">LevelsDD!$A$2:$A$11</definedName>
    <definedName name="SeaOtter_assistedbackfloatandrecovery">SeaOtterReason!$G$2:$G$5</definedName>
    <definedName name="SeaOtter_assistedbackglide">SeaOtterReason!$I$2:$I$5</definedName>
    <definedName name="SeaOtter_assistedfrontfloatandrecovery">SeaOtterReason!$F$2:$F$5</definedName>
    <definedName name="SeaOtter_assistedfrontglide">SeaOtterReason!$H$2:$H$7</definedName>
    <definedName name="SeaOtter_assistedfrontswim">SeaOtterReason!$J$2:$J$5</definedName>
    <definedName name="SeaOtter_Comm">LevelsComments!$A$2:$A$11</definedName>
    <definedName name="SeaOtter_distanceswim">SeaOtterReason!$D$2:$D$3</definedName>
    <definedName name="SeaOtter_kickingonfrontwithabuoyantobject">SeaOtterReason!$A$2:$A$6</definedName>
    <definedName name="SeaOtter_openingeyesunderwater">SeaOtterReason!$B$2:$B$5</definedName>
    <definedName name="SeaOtter_rhythmicbreathing">SeaOtterReason!$C$2:$C$7</definedName>
    <definedName name="SeaOtter_safeentriesandexits">SeaOtterReason!$E$2:$E$4</definedName>
    <definedName name="Sunfish">LevelsDD!$C$2:$C$14</definedName>
    <definedName name="Sunfish_assistedsideglidewithkick">SunfishReason!$L$2:$L$7</definedName>
    <definedName name="Sunfish_backfloatandrecoveryindeepwater">SunfishReason!$G$2:$G$3</definedName>
    <definedName name="Sunfish_backglidewithkick">SunfishReason!$J$2:$J$7</definedName>
    <definedName name="Sunfish_changingdirectioninshallowwater">SunfishReason!$C$2:$C$3</definedName>
    <definedName name="Sunfish_Comm">LevelsComments!$C$2:$C$14</definedName>
    <definedName name="Sunfish_distanceswim">SunfishReason!$B$2:$B$3</definedName>
    <definedName name="Sunfish_frontfloatandrecoveryindeepwater">SunfishReason!$F$2:$F$5</definedName>
    <definedName name="Sunfish_frontglidewithkick">SunfishReason!$I$2:$I$7</definedName>
    <definedName name="Sunfish_frontswim">SunfishReason!$M$2:$M$6</definedName>
    <definedName name="Sunfish_jumpingintochestdeepwatersurfacesupport">SunfishReason!$E$2:$E$5</definedName>
    <definedName name="Sunfish_kickingonfrontwithabuoyantobject">SunfishReason!$A$2:$A$5</definedName>
    <definedName name="Sunfish_rhythmicbreathing">SunfishReason!$H$2:$H$5</definedName>
    <definedName name="Sunfish_rolloverglidewithkick">SunfishReason!$K$2:$K$7</definedName>
    <definedName name="Sunfish_surfacesupportinchestdeepwater">SunfishReason!$D$2:$D$5</definedName>
    <definedName name="Whale">LevelsDD!$E$2:$E$13</definedName>
    <definedName name="Whale_backglidewithkick">WhaleReason!$I$2:$I$5</definedName>
    <definedName name="Whale_backswim">WhaleReason!$L$2:$L$5</definedName>
    <definedName name="Whale_Comm">LevelsComments!$E$2:$E$13</definedName>
    <definedName name="Whale_distanceswim">WhaleReason!$B$2:$B$3</definedName>
    <definedName name="Whale_frontglidewithkick">WhaleReason!$H$2:$H$7</definedName>
    <definedName name="Whale_frontswim">WhaleReason!$K$2:$K$7</definedName>
    <definedName name="Whale_jumpingintodeepwater">WhaleReason!$E$2:$E$7</definedName>
    <definedName name="Whale_kicking">WhaleReason!$A$2:$A$3</definedName>
    <definedName name="Whale_rhythmicbreathingfronttosideglidewithkick">WhaleReason!$G$2:$G$7</definedName>
    <definedName name="Whale_sideglidewithkick">WhaleReason!$J$2:$J$7</definedName>
    <definedName name="Whale_sittingdive">WhaleReason!$C$2:$C$5</definedName>
    <definedName name="Whale_stopcallforhelpthrowingassist">WhaleReason!$F$2:$F$5</definedName>
    <definedName name="Whale_surfacesupport">WhaleReason!$D$2:$D$3</definedName>
    <definedName name="Year">Data!$C$2:$C$5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7" l="1"/>
  <c r="B2" i="17"/>
  <c r="B4" i="17"/>
  <c r="B5" i="17"/>
  <c r="B6" i="17"/>
  <c r="B7" i="17"/>
  <c r="B8" i="17"/>
  <c r="B9" i="17"/>
  <c r="B10" i="17"/>
  <c r="A2" i="17"/>
  <c r="A3" i="17"/>
  <c r="A4" i="17"/>
  <c r="C4" i="17" s="1"/>
  <c r="A5" i="17"/>
  <c r="A6" i="17"/>
  <c r="C6" i="17" s="1"/>
  <c r="A7" i="17"/>
  <c r="A8" i="17"/>
  <c r="A9" i="17"/>
  <c r="A10" i="17"/>
  <c r="A1" i="17"/>
  <c r="Y26" i="1"/>
  <c r="Y111" i="1"/>
  <c r="Y38" i="1"/>
  <c r="Y103" i="1"/>
  <c r="Y19" i="1"/>
  <c r="Y76" i="1"/>
  <c r="Y55" i="1"/>
  <c r="Y34" i="1"/>
  <c r="Y91" i="1"/>
  <c r="Y65" i="1"/>
  <c r="Y60" i="1"/>
  <c r="Y49" i="1"/>
  <c r="Y27" i="1"/>
  <c r="Y51" i="1"/>
  <c r="Y82" i="1"/>
  <c r="Y68" i="1"/>
  <c r="Y42" i="1"/>
  <c r="Y98" i="1"/>
  <c r="Y56" i="1"/>
  <c r="Y31" i="1"/>
  <c r="Y53" i="1"/>
  <c r="Y23" i="1"/>
  <c r="Y44" i="1"/>
  <c r="Y63" i="1"/>
  <c r="Y47" i="1"/>
  <c r="Y107" i="1"/>
  <c r="Y16" i="1"/>
  <c r="Y71" i="1"/>
  <c r="Y64" i="1"/>
  <c r="Y62" i="1"/>
  <c r="Y95" i="1"/>
  <c r="Y48" i="1"/>
  <c r="Y90" i="1"/>
  <c r="Y9" i="1"/>
  <c r="Y45" i="1"/>
  <c r="Y75" i="1"/>
  <c r="Y32" i="1"/>
  <c r="Y59" i="1"/>
  <c r="Y29" i="1"/>
  <c r="Y40" i="1"/>
  <c r="Y30" i="1"/>
  <c r="Y105" i="1"/>
  <c r="Y28" i="1"/>
  <c r="Y81" i="1"/>
  <c r="Y39" i="1"/>
  <c r="Y74" i="1"/>
  <c r="Y57" i="1"/>
  <c r="Y24" i="1"/>
  <c r="Y22" i="1"/>
  <c r="Y100" i="1"/>
  <c r="Y13" i="1"/>
  <c r="Y18" i="1"/>
  <c r="Y70" i="1"/>
  <c r="Y35" i="1"/>
  <c r="Y8" i="1"/>
  <c r="Y99" i="1"/>
  <c r="Y6" i="1"/>
  <c r="Y14" i="1"/>
  <c r="Y112" i="1"/>
  <c r="Y101" i="1"/>
  <c r="Y113" i="1"/>
  <c r="Y33" i="1"/>
  <c r="Y36" i="1"/>
  <c r="Y87" i="1"/>
  <c r="Y43" i="1"/>
  <c r="Y72" i="1"/>
  <c r="Y15" i="1"/>
  <c r="Y97" i="1"/>
  <c r="Y85" i="1"/>
  <c r="Y11" i="1"/>
  <c r="Y10" i="1"/>
  <c r="Y96" i="1"/>
  <c r="Y69" i="1"/>
  <c r="Y89" i="1"/>
  <c r="Y66" i="1"/>
  <c r="Y86" i="1"/>
  <c r="Y108" i="1"/>
  <c r="Y46" i="1"/>
  <c r="Y52" i="1"/>
  <c r="Y83" i="1"/>
  <c r="Y93" i="1"/>
  <c r="Y80" i="1"/>
  <c r="Y41" i="1"/>
  <c r="Y104" i="1"/>
  <c r="Y110" i="1"/>
  <c r="Y106" i="1"/>
  <c r="Y17" i="1"/>
  <c r="Y109" i="1"/>
  <c r="Y54" i="1"/>
  <c r="Y21" i="1"/>
  <c r="Y12" i="1"/>
  <c r="Y25" i="1"/>
  <c r="Y78" i="1"/>
  <c r="Y7" i="1"/>
  <c r="Y20" i="1"/>
  <c r="Y79" i="1"/>
  <c r="Y50" i="1"/>
  <c r="Y92" i="1"/>
  <c r="Y37" i="1"/>
  <c r="Y94" i="1"/>
  <c r="Y88" i="1"/>
  <c r="Y58" i="1"/>
  <c r="Y84" i="1"/>
  <c r="Y67" i="1"/>
  <c r="Y61" i="1"/>
  <c r="Y102" i="1"/>
  <c r="Y77" i="1"/>
  <c r="Y73" i="1"/>
  <c r="C8" i="17" l="1"/>
  <c r="C1" i="17"/>
  <c r="C2" i="17"/>
  <c r="C9" i="17"/>
  <c r="C3" i="17"/>
  <c r="C10" i="17"/>
  <c r="C7" i="17"/>
  <c r="C5" i="17"/>
</calcChain>
</file>

<file path=xl/sharedStrings.xml><?xml version="1.0" encoding="utf-8"?>
<sst xmlns="http://schemas.openxmlformats.org/spreadsheetml/2006/main" count="477" uniqueCount="404">
  <si>
    <t>First Name</t>
  </si>
  <si>
    <t>Last Name</t>
  </si>
  <si>
    <t>Instructor Name</t>
  </si>
  <si>
    <t>Day</t>
  </si>
  <si>
    <t>Current Session</t>
  </si>
  <si>
    <t>Year</t>
  </si>
  <si>
    <t>Current Level</t>
  </si>
  <si>
    <t>Skill Strength 1</t>
  </si>
  <si>
    <t>Reason 1</t>
  </si>
  <si>
    <t>Skill Weakness</t>
  </si>
  <si>
    <t>Reason 2</t>
  </si>
  <si>
    <t>Skill Strength 2</t>
  </si>
  <si>
    <t>Reason 3</t>
  </si>
  <si>
    <t>Next Level Session</t>
  </si>
  <si>
    <t>Monday</t>
  </si>
  <si>
    <t>Tuesday</t>
  </si>
  <si>
    <t>Wednesday</t>
  </si>
  <si>
    <t>Thursday</t>
  </si>
  <si>
    <t>Friday</t>
  </si>
  <si>
    <t>Saturday</t>
  </si>
  <si>
    <t>Sunday AM</t>
  </si>
  <si>
    <t>Sunday PM</t>
  </si>
  <si>
    <t>Days</t>
  </si>
  <si>
    <t>Fall</t>
  </si>
  <si>
    <t>Winter</t>
  </si>
  <si>
    <t>Spring</t>
  </si>
  <si>
    <t>July</t>
  </si>
  <si>
    <t>August</t>
  </si>
  <si>
    <t>Level</t>
  </si>
  <si>
    <t>Swim Kids 1</t>
  </si>
  <si>
    <t>Closing</t>
  </si>
  <si>
    <t>Opener</t>
  </si>
  <si>
    <t>Input Template:</t>
  </si>
  <si>
    <t>Output Folder:</t>
  </si>
  <si>
    <t>Closer</t>
  </si>
  <si>
    <t>It was a pleasure to teach NAME this session.</t>
  </si>
  <si>
    <t>NAME was a pleasure to teach this session.</t>
  </si>
  <si>
    <t>It has been a blast to teach NAME this session.</t>
  </si>
  <si>
    <t>Good luck next session NAME!</t>
  </si>
  <si>
    <t>I hope to see NAME again next session!</t>
  </si>
  <si>
    <t>Good work this session and I hope to see NAME next session!</t>
  </si>
  <si>
    <t>Comment</t>
  </si>
  <si>
    <t>They are now able to maintain a near-horizontal body position in the water while kicking.</t>
  </si>
  <si>
    <t>They must remember to maintain a near-horizontal body position in the water while kicking. </t>
  </si>
  <si>
    <t>They are now able to initiate their flutter kick from their hips, keeping their legs straight.</t>
  </si>
  <si>
    <t>They must remember to initiate their flutter kick from their hips, keeping their legs straight.</t>
  </si>
  <si>
    <t>They are now able to move their legs in an opposite up and down motion.</t>
  </si>
  <si>
    <t>They must remember to move their legs in an opposite up and down motion. </t>
  </si>
  <si>
    <t>at their 5m of front glide with kick</t>
  </si>
  <si>
    <t>at their 5m of front swim</t>
  </si>
  <si>
    <t>Flutter Kick 5m </t>
  </si>
  <si>
    <t>They must remember to exhale when their face is in the water, and inhale when their face is out of the water.</t>
  </si>
  <si>
    <t>They must remember to use a combination of leg and arm movements to propel themselves through the water.</t>
  </si>
  <si>
    <t>Swim Kids 1_Flutter Kick 5m </t>
  </si>
  <si>
    <t>Data Range: 'Sheet2'!$A$3:$C$8</t>
  </si>
  <si>
    <t>Output Range: 'Sheet2'!$L$3:$N$3</t>
  </si>
  <si>
    <t>2022-06-26 11:30:39 PM This data is the auxiliary data generated by Kutools Dynamic Drop-down List</t>
  </si>
  <si>
    <t>at their rhythmic breathing, 10 times</t>
  </si>
  <si>
    <t>at their rhythmic breathing, 5 times</t>
  </si>
  <si>
    <t>at their sitting dive</t>
  </si>
  <si>
    <t>back float and recovery</t>
  </si>
  <si>
    <t>front swim</t>
  </si>
  <si>
    <t>distance swim</t>
  </si>
  <si>
    <t>rhythmic breathing</t>
  </si>
  <si>
    <t>front float and recovery</t>
  </si>
  <si>
    <t>front glide</t>
  </si>
  <si>
    <t>front glide with kick</t>
  </si>
  <si>
    <t>surface support</t>
  </si>
  <si>
    <t>sitting dive</t>
  </si>
  <si>
    <t>Sea Otter</t>
  </si>
  <si>
    <t>Salamander</t>
  </si>
  <si>
    <t>Sunfish</t>
  </si>
  <si>
    <t>Crocodile</t>
  </si>
  <si>
    <t>Whale</t>
  </si>
  <si>
    <t>Sea Otter (3-5 years) or Swim Kids 1 (5+ years)</t>
  </si>
  <si>
    <t>Salamander (3-5 years) or Swim Kids 1 (5+ years)</t>
  </si>
  <si>
    <t>Sunfish (3-5 years) or Swim Kids 2 (5+ years)</t>
  </si>
  <si>
    <t>Crocodile (3-5 years) or Swim Kids 2 (5+ years)</t>
  </si>
  <si>
    <t>Whale (3-5 years) or Swim Kids 3 (5+ years)</t>
  </si>
  <si>
    <t>kick on front</t>
  </si>
  <si>
    <t>open eyes underwater</t>
  </si>
  <si>
    <t>safe entries and exits</t>
  </si>
  <si>
    <t>back glide 3 sec</t>
  </si>
  <si>
    <t>They are now able to perform a basic kick on their front while holding onto a buoyant object.</t>
  </si>
  <si>
    <t>They are now able to open their eyes underwater with their head submerged.</t>
  </si>
  <si>
    <t>They are now able to breathe out through their mouth underwater and breathe in above water. </t>
  </si>
  <si>
    <t>They can now swim 1m using a combination of leg and arm movements.</t>
  </si>
  <si>
    <t>They are now able to demonstrate the “stop, look, ask” principle.</t>
  </si>
  <si>
    <t>They are now able to maintain a stable position on their front with their entire face in the water.</t>
  </si>
  <si>
    <t>They can now float on their back with their ears in the water.</t>
  </si>
  <si>
    <t>They can now glide on their front for 3 seconds with their face in the water.</t>
  </si>
  <si>
    <t>They can now glide on their back with their arms along their sides for 3 seconds.</t>
  </si>
  <si>
    <t>They can now swim in a near-horizontal body position with their face in the water.</t>
  </si>
  <si>
    <t>They can now successfully open their eyes with their head underwater.</t>
  </si>
  <si>
    <t>They can now perform a relaxed breathing pattern, with an exhale underwater and inhale above the water.</t>
  </si>
  <si>
    <t>They can now enter the water safely, and remain at the point of safety.</t>
  </si>
  <si>
    <t>They are now able to float on their front in a relaxed manner, before comfortably recovering to a vertical position.</t>
  </si>
  <si>
    <t>They are now able to float on their back in a relaxed manner, before comfortably recovering to a vertical position.</t>
  </si>
  <si>
    <t>They can now glide on their front in a relaxed manner with their face in the water.</t>
  </si>
  <si>
    <t>They can now glide on their back in a relaxed manner, before comfortably recovering to a vertical position.</t>
  </si>
  <si>
    <t>They are now able to perform basic propulsive arm movements and kicking.</t>
  </si>
  <si>
    <t>They are now able to travel the 1 meter distance while kicking the entire time. </t>
  </si>
  <si>
    <t>They must remember to open their eyes when their head is in the water.</t>
  </si>
  <si>
    <t>They can now complete their rhythmic breathing 3 times consecutively. </t>
  </si>
  <si>
    <t>They must remember to enter the water in a safe manner, and remain at the point of safety.</t>
  </si>
  <si>
    <t>They must ensure that they float on their front in a relaxed manner, before comfortably recovering to a vertical position.</t>
  </si>
  <si>
    <t>They must ensure that they float on their back with their ears in the water.</t>
  </si>
  <si>
    <t>They can now glide comfortably on their front in a near-horizontal body position, before comfortably recovering to a vertical position. </t>
  </si>
  <si>
    <t>They must ensure that they can glide on their back in a relaxed manner, before comfortably recovering to a vertical position.</t>
  </si>
  <si>
    <t>They must remember to perform basic propulsive arm movements and kicking.</t>
  </si>
  <si>
    <t>They must remember to kick with their legs. </t>
  </si>
  <si>
    <t>They should continue to practice putting their head underwater and opening their eyes. </t>
  </si>
  <si>
    <t>They must remember to maintain a stable position on their front with their entire face in the water.</t>
  </si>
  <si>
    <t>They must remember to float on their back in a relaxed manner, before comfortably recovering to a vertical position.</t>
  </si>
  <si>
    <t>They must remember to glide on their front for 3 seconds with their face in the water. </t>
  </si>
  <si>
    <t>They must remember to glide on their back with their arms along their sides for 3 seconds.</t>
  </si>
  <si>
    <t>They must remember to swim in a near-horizontal body position with their face in the water.</t>
  </si>
  <si>
    <t>They must remember to keep their arms straight out in front of them.</t>
  </si>
  <si>
    <t>They must remember to glide on their front in a relaxed manner with their face in the water.</t>
  </si>
  <si>
    <t>They must ensure that they can glide comfortably on their front in a near-horizontal body position, before comfortably recovering to a vertical position. </t>
  </si>
  <si>
    <t>surface support 5 sec</t>
  </si>
  <si>
    <t>rhythmic breathing 5 times</t>
  </si>
  <si>
    <t>front glide with kick 2m</t>
  </si>
  <si>
    <t>back glide with kick 2m</t>
  </si>
  <si>
    <t>roll-over glides</t>
  </si>
  <si>
    <t>back glide with kick</t>
  </si>
  <si>
    <t>kicking with buoyant object</t>
  </si>
  <si>
    <t>distance swim 5m</t>
  </si>
  <si>
    <t>change direction in shallow water</t>
  </si>
  <si>
    <t>surface support in chest-deep water</t>
  </si>
  <si>
    <t>jump into chest-deep water, surface support 5 sec</t>
  </si>
  <si>
    <t>front float and recovery in deep water 5 sec</t>
  </si>
  <si>
    <t>back float and recovery in deep water for 5 sec </t>
  </si>
  <si>
    <t>rhythmic breathing 5 times, 2 ways</t>
  </si>
  <si>
    <t>front glide with kick 5m</t>
  </si>
  <si>
    <t>back glide with kick 5m</t>
  </si>
  <si>
    <t>roll-over glide with kick 5m</t>
  </si>
  <si>
    <t>surface support in chest deep water</t>
  </si>
  <si>
    <t>front float and recovery in deep water</t>
  </si>
  <si>
    <t>back float and recovery in deep water</t>
  </si>
  <si>
    <t>roll over glides</t>
  </si>
  <si>
    <t>roll over glide with kick</t>
  </si>
  <si>
    <t>They can now perform a basic kick on their front with a buoyant object.</t>
  </si>
  <si>
    <t>They can now swim 2m using a combination of leg and arm movements.</t>
  </si>
  <si>
    <t>They are now able to keep their face above chest-deep water for 5 seconds at the Salamander standard.</t>
  </si>
  <si>
    <t>They can now exhale through their mouth or nose underwater, and inhale through their mouth just above the surface. </t>
  </si>
  <si>
    <t>They are now able to perform basic flutter kick motions on their front for 2m at the Salamander standard.</t>
  </si>
  <si>
    <t>They are now able to perform basic flutter kick motions on their back for at least 2m at the Salamander standard.</t>
  </si>
  <si>
    <t>They are now able to glide for 1m with their face in the water, before rolling over to a float or glide on the opposite side.</t>
  </si>
  <si>
    <t>They are now able to swim with their face in the water, in a near-horizontal body position.</t>
  </si>
  <si>
    <t>They are now able to kick on their front for 2m at the Salamander standard.</t>
  </si>
  <si>
    <t>They must remember to swim 2m using a combination of leg and arm movements.</t>
  </si>
  <si>
    <t>They can now use a combination of leg and arm movements to keep their face above the water for 5 seconds.</t>
  </si>
  <si>
    <t>They are now able to perform rhythmic and relaxed breathing, inhaling just above the surface.</t>
  </si>
  <si>
    <t>They are now able to float on their front in a relaxed manner without movement, before comfortably recovering to a vertical position.</t>
  </si>
  <si>
    <t>They are now able to float on their back in a relaxed manner without movement, before comfortably recovering to a vertical position.</t>
  </si>
  <si>
    <t>They can now maintain a near-horizontal body position, with their arms extended above their head while kicking.</t>
  </si>
  <si>
    <t>They can now kick on their back, before comfortably recovering to a vertical position.</t>
  </si>
  <si>
    <t>They can now glide in a streamlined position, and initiate their roll with their head and shoulders.</t>
  </si>
  <si>
    <t>They can now perform basic propulsive arm movements and kicking in a near-horizontal body position.</t>
  </si>
  <si>
    <t>They must ensure that they can kick on their front for 2m at the Salamander standard.</t>
  </si>
  <si>
    <t>They are now able to perform at least 5 repetitions of rhythmic breathing.</t>
  </si>
  <si>
    <t>They must ensure that they float on their front in a relaxed manner without movement, before comfortably recovering to a vertical position.</t>
  </si>
  <si>
    <t>They are now able to glide on their front while kicking with their face in the water, before comfortably recovering to a vertical position.</t>
  </si>
  <si>
    <t>They must ensure that they perform basic flutter kick motions on their back for at least 2m.</t>
  </si>
  <si>
    <t>They must remember to glide for 1m with their face in the water, before rolling over to a float or glide on the opposite side. </t>
  </si>
  <si>
    <t>They must remember to swim with their face in the water, in a near-horizontal body position. </t>
  </si>
  <si>
    <t>They must remember to perform a basic kick on their front with a buoyant object.</t>
  </si>
  <si>
    <t>They must ensure that they perform at least 5 repetitions of rhythmic breathing.</t>
  </si>
  <si>
    <t>They must remember to float on their back in a relaxed manner without movement, before comfortably recovering to a vertical position.</t>
  </si>
  <si>
    <t>They must remember to perform basic flutter kick motions on their front for 2m at the Salamander standard.</t>
  </si>
  <si>
    <t>They must remember to kick on their back, before comfortably recovering to a vertical position.</t>
  </si>
  <si>
    <t>They must remember to glide in a streamlined position, and initiate their roll with their head and shoulders.</t>
  </si>
  <si>
    <t>They must remember to perform basic propulsive arm movements and kicking in a near-horizontal body position.</t>
  </si>
  <si>
    <t>They must remember to perform rhythmic and relaxed breathing, inhaling just above the surface.</t>
  </si>
  <si>
    <t>They must remember to maintain a near-horizontal body position, with their arms extended above their head while kicking.</t>
  </si>
  <si>
    <t>They must remember to exhale through their mouth or nose underwater, and inhale through their mouth just above the surface. </t>
  </si>
  <si>
    <t>They must remember to glide on their front while kicking with their face in the water, before comfortably recovering to a vertical position.</t>
  </si>
  <si>
    <t>side glide with kick 2m</t>
  </si>
  <si>
    <t>front swim 5m</t>
  </si>
  <si>
    <t>They can now travel 5m using flutter kick with a buoyant object.</t>
  </si>
  <si>
    <t>They are now able to travel 5m using a combination of leg and arm movements.</t>
  </si>
  <si>
    <t>They are now able to push away from the nearest point of safety into a gliding position, before changing direction, and returning to the nearest point of safety.</t>
  </si>
  <si>
    <t>They are now able to use a combination of leg and arm movements to keep their head above the water for 5 seconds.</t>
  </si>
  <si>
    <t>They are now able to jump into chest-deep water, recover to the surface, and demonstrate surface support for 5 seconds.</t>
  </si>
  <si>
    <t>They are now able to float in a relaxed, stable position on their front with little to no leg movement for 5 seconds.</t>
  </si>
  <si>
    <t>They are now able to float in a relaxed, stable position on their back in deep water for at least 5 seconds.</t>
  </si>
  <si>
    <t>They can now exhale through their mouth or nose underwater and inhale just above the surface through their mouth.</t>
  </si>
  <si>
    <t>They are now able to perform front glide with kick, alternating both legs up and down just below the surface.</t>
  </si>
  <si>
    <t>They are now able to perform back glide with kick, alternating both legs up and down just below the surface with pointed feet.</t>
  </si>
  <si>
    <t>They can now perform front glide, before rolling onto their back and kicking throughout.</t>
  </si>
  <si>
    <t>They are now able to glide on their side with one arm extended above their head and the other beside their body.</t>
  </si>
  <si>
    <t>They are now able to swim with their face in the water, using basic flutter kick for propulsion.</t>
  </si>
  <si>
    <t>They are now able to perform continuous flutter kick on their back and front, using a buoyant object to assist them.</t>
  </si>
  <si>
    <t>They must remember to use a combination of leg and arm movements to travel a distance of 5m.</t>
  </si>
  <si>
    <t>They must remember to push away from the nearest point of safety into a gliding position, before changing direction, and returning to the nearest point of safety. </t>
  </si>
  <si>
    <t>They can now keep their head above the water for 5 seconds, before returning to the point of safety. </t>
  </si>
  <si>
    <t>They must remember to  jump into chest-deep water, recover to the surface, and demonstrate surface support for 5 seconds.</t>
  </si>
  <si>
    <t>They can now float on their front with their face in the water in a relaxed manner in deep water for 5 seconds, at the Sunfish standard.</t>
  </si>
  <si>
    <t>They must remember to float in a relaxed, stable position on their back in deep water for at least 5 seconds.</t>
  </si>
  <si>
    <t>They are now able to perform rhythmic breathing, with effective exhalation and inhalation, on each repetition.</t>
  </si>
  <si>
    <t>They can now kick continuously throughout the glide, maintaining a near-horizontal body position with their arms fully extended above their head.</t>
  </si>
  <si>
    <t>They can now kick continuously on their back for 3m, before comfortably recovering to a vertical position.</t>
  </si>
  <si>
    <t>They are now able to exhale when their face is in the water, and inhale when their face is out of the water.</t>
  </si>
  <si>
    <t>They are now able to kick on their side, alternating their legs up and down just below the surface.</t>
  </si>
  <si>
    <t>They are now able to swim on their front in a near-horizontal body position for 5m.</t>
  </si>
  <si>
    <t>They must remember to travel 5m using flutter kick with a buoyant object.</t>
  </si>
  <si>
    <t>They must remember to use a combination of leg and arm movements to keep their head above the water for 5 seconds.</t>
  </si>
  <si>
    <t>They must remember to float in a relaxed, stable position on their front with little to no leg movement for 5 seconds.</t>
  </si>
  <si>
    <t>They must remember to exhale through their mouth or nose underwater and inhale just above the surface through their mouth. </t>
  </si>
  <si>
    <t>They can now glide on their front while kicking, before comfortably recovering to a vertical position. </t>
  </si>
  <si>
    <t>They are now able to maintain a near-horizontal body position, with their arms and hands resting alongside their body.</t>
  </si>
  <si>
    <t>They can now initiate their roll with their head and shoulders, and kicking continuously throughout the roll.</t>
  </si>
  <si>
    <t>They can now kick on their side with their ear resting in the water near their shoulder.</t>
  </si>
  <si>
    <t>They must remember to swim with their face in the water, using basic flutter kick for propulsion.</t>
  </si>
  <si>
    <t>They must remember to perform continuous flutter kick on their back and front, using a buoyant object to assist them.</t>
  </si>
  <si>
    <t>They must remember to keep their head above the water for 5 seconds, before returning to the point of safety.</t>
  </si>
  <si>
    <t>They must ensure that they float on their front with their face in the water in a relaxed manner in deep water for 5 seconds.</t>
  </si>
  <si>
    <t>They must remember to perform rhythmic breathing, with effective exhalation and inhalation, on each repetition.</t>
  </si>
  <si>
    <t>They must remember to perform front glide with kick, alternating both legs up and down just below the surface.</t>
  </si>
  <si>
    <t>They must remember to perform back glide with kick, alternating both legs up and down just below the surface with pointed feet.</t>
  </si>
  <si>
    <t>They must remember to perform front glide, before rolling onto their back and kicking throughout.</t>
  </si>
  <si>
    <t>They must remember to glide on their side with one arm extended above their head and the other beside their body.</t>
  </si>
  <si>
    <t>They must remember to swim on their front in a near-horizontal body position for 5m.</t>
  </si>
  <si>
    <t>They must remember to kick continuously throughout the glide, maintaining a near-horizontal body position with their arms fully extended above their head.</t>
  </si>
  <si>
    <t>They must remember to kick continuously on their back for 3m, before comfortably recovering to a vertical position.</t>
  </si>
  <si>
    <t>They must remember to kick on their side, alternating their legs up and down just below the surface.</t>
  </si>
  <si>
    <t>They must remember to glide on their front while kicking, before comfortably recovering to a vertical position. </t>
  </si>
  <si>
    <t>They must remember to maintain a near-horizontal body position, with their arms and hands resting alongside their body.</t>
  </si>
  <si>
    <t>They must remember to initiate their roll with their head and shoulders, and kicking continuously throughout the roll.</t>
  </si>
  <si>
    <t>They must remember to kick on their side with their ear resting in the water near their shoulder.</t>
  </si>
  <si>
    <t>at opening eyes underwater</t>
  </si>
  <si>
    <t>opening eyes underwater</t>
  </si>
  <si>
    <t>at their 1m of distance swim</t>
  </si>
  <si>
    <t>at their safe entries and exits</t>
  </si>
  <si>
    <t>at their assisted front float and recovery for 3 sec</t>
  </si>
  <si>
    <t>at their assisted back float and recovery for 3 sec</t>
  </si>
  <si>
    <t>assisted front float and recovery</t>
  </si>
  <si>
    <t>assisted back float and recovery</t>
  </si>
  <si>
    <t>assisted front glide</t>
  </si>
  <si>
    <t>assisted back glide</t>
  </si>
  <si>
    <t>assisted front swim</t>
  </si>
  <si>
    <t>at their assisted front glide for 3 sec</t>
  </si>
  <si>
    <t>at their assisted back glide for 3 sec</t>
  </si>
  <si>
    <t>at their 1m of assisted front swim</t>
  </si>
  <si>
    <t>at their rhythmic breathing, 3 times</t>
  </si>
  <si>
    <t>at 1m of kicking on front with a buoyant object</t>
  </si>
  <si>
    <t>kicking on front with a buoyant object</t>
  </si>
  <si>
    <t>They must ensure that they perform at least 3 repetitions of rhythmic breathing.</t>
  </si>
  <si>
    <t>at 2m of kicking on front with a buoyant object</t>
  </si>
  <si>
    <t>at their 2m of distance swim</t>
  </si>
  <si>
    <t>assisted surface support</t>
  </si>
  <si>
    <t>at their assisted surface support for 5 sec</t>
  </si>
  <si>
    <t>at their front float and recovery</t>
  </si>
  <si>
    <t>at their back float and recovery</t>
  </si>
  <si>
    <t>at their 2m of front glide with kick</t>
  </si>
  <si>
    <t>at their 2m of back glide with kick</t>
  </si>
  <si>
    <t>at their 2m roll over glides</t>
  </si>
  <si>
    <t>at their 2m of front swim</t>
  </si>
  <si>
    <t>at 5m of kicking on front with a buoyant object</t>
  </si>
  <si>
    <t>at their 5m of distance swim</t>
  </si>
  <si>
    <t>at their 5m of back glide with kick</t>
  </si>
  <si>
    <t>at their 5m roll over glide with kick</t>
  </si>
  <si>
    <t>assisted side glide with kick</t>
  </si>
  <si>
    <t>at their 2m of assisted side glide with kick</t>
  </si>
  <si>
    <t>at changing direction in shallow water</t>
  </si>
  <si>
    <t>changing direction in shallow water</t>
  </si>
  <si>
    <t>jumping into chest deep water surface support</t>
  </si>
  <si>
    <t>kicking with buoyant object 10m</t>
  </si>
  <si>
    <t>distance swim 10m</t>
  </si>
  <si>
    <t>surface support 10 sec</t>
  </si>
  <si>
    <t>jump into deep water, surface support 10 sec</t>
  </si>
  <si>
    <t>rhythmic breathing 10 times, 2 ways</t>
  </si>
  <si>
    <t>front glide with kick 7m</t>
  </si>
  <si>
    <t>back glide with kick 7m</t>
  </si>
  <si>
    <t>side glide with kick 5m</t>
  </si>
  <si>
    <t>back swim 5m</t>
  </si>
  <si>
    <t>jumping into deep water surface support</t>
  </si>
  <si>
    <t>side glide with kick</t>
  </si>
  <si>
    <t>back swim</t>
  </si>
  <si>
    <t>at their 10m of distance swim</t>
  </si>
  <si>
    <t>at their 7m of front glide with kick</t>
  </si>
  <si>
    <t>at their 7m of back glide with kick</t>
  </si>
  <si>
    <t>at their 5m of side glide with kick</t>
  </si>
  <si>
    <t>at their 5m of back swim</t>
  </si>
  <si>
    <t>They are now able to kick for 10m, using a buoyant object for support.</t>
  </si>
  <si>
    <t>They are now able to move at least 10m using effective arm and leg propulsion.</t>
  </si>
  <si>
    <t>They are now able to use a combination of leg and arm movements to keep their head above the water for 10 seconds.</t>
  </si>
  <si>
    <t>They can now use “stop, look, ask” before jumping in the water and doing surface support.</t>
  </si>
  <si>
    <t>They are now able to inhale through their mouth above the surface, and exhale with their mouth or nose underwater. </t>
  </si>
  <si>
    <t>They are now able to perform front glide with kick, alternating their legs up and down continuously throughout the glide.</t>
  </si>
  <si>
    <t>They are now able to perform back glide with kick, alternating their legs up and down at or just below the surface with pointed feet. </t>
  </si>
  <si>
    <t>They are now able to glide on their side with one arm extended above their head and the other beside their body, without moving their hands.</t>
  </si>
  <si>
    <t>They are now able to swim on their front with their face in the water for 5m at the Crocodile standard.</t>
  </si>
  <si>
    <t>They are now able to swim on their back in a near-horizontal body position with their ears in the water.</t>
  </si>
  <si>
    <t>They can now kick on their front or back continuously, at the surface.</t>
  </si>
  <si>
    <t>They must remember to move at least 10m using effective arm and leg propulsion. </t>
  </si>
  <si>
    <t>They must remember to use a combination of leg and arm movements to keep their head above the water for 10 seconds.</t>
  </si>
  <si>
    <t>They are now able to jump into deep water, and do surface support for 10 seconds, before returning to the wall safely.</t>
  </si>
  <si>
    <t>They are now able to perform rhythmic and relaxed breathing, with effective inhalation and exhalation on each repetition. </t>
  </si>
  <si>
    <t>They can now maintain a near-horizontal body position, with their arms fully extended above their head, while kicking continuously throughout. </t>
  </si>
  <si>
    <t>They can now kick continuously on their back for 7m, at the Crocodile standard.</t>
  </si>
  <si>
    <t>They can now kick with pointed feet on their preferred side for 5m.</t>
  </si>
  <si>
    <t>They can now maintain a near-horizontal body position in the water, and kick from the hips while moving their arms in a full-circle motion.</t>
  </si>
  <si>
    <t>They are now able to kick from their hips on their back, with their arms resting at their sides.</t>
  </si>
  <si>
    <t>They must remember to kick for 10m, using a buoyant object for support.  </t>
  </si>
  <si>
    <t>They must remember to use “stop, look, ask” before jumping in the water and doing surface support. </t>
  </si>
  <si>
    <t>They must remember to inhale through their mouth above the surface, and exhale with their mouth or nose underwater.  </t>
  </si>
  <si>
    <t>They can now kick on their front in a near-horizontal body position, before comfortably recovering to a vertical position.</t>
  </si>
  <si>
    <t>They can now maintain a near-horizontal body position on their back, with their arms and hands resting alongside their body.</t>
  </si>
  <si>
    <t>They are now able to kick with their head turned to the side, with their ear resting in the water near their shoulder.</t>
  </si>
  <si>
    <t>They can now move their arms in a full-circle motion, reaching out in front of their head, and pulling their hands past their navel.</t>
  </si>
  <si>
    <t>They must remember to swim on their back in a near-horizontal body position with their ears in the water.  </t>
  </si>
  <si>
    <t>They must remember to kick on their front or back continuously, at the surface.</t>
  </si>
  <si>
    <t>They must remember to jump into deep water, and do surface support for 10 seconds, before returning to the wall safely. </t>
  </si>
  <si>
    <t>They must remember to perform rhythmic and relaxed breathing, with effective inhalation and exhalation on each repetition.  </t>
  </si>
  <si>
    <t>They must remember to perform front glide with kick, alternating their legs up and down continuously throughout the glide. </t>
  </si>
  <si>
    <t>They must remember to perform back glide with kick, alternating their legs up and down at or just below the surface with pointed feet.  </t>
  </si>
  <si>
    <t>They must remember to glide on their side with one arm extended above their head and the other beside their body, without moving their hands. </t>
  </si>
  <si>
    <t>They must remember to swim on their front with their face in the water for 5m at the Crocodile standard. </t>
  </si>
  <si>
    <t>They must remember to kick from their hips on their back, with their arms resting at their sides. </t>
  </si>
  <si>
    <t>They must remember to maintain a near-horizontal body position, with their arms fully extended above their head, while kicking continuously throughout. </t>
  </si>
  <si>
    <t>They must remember to kick continuously on their back for 7m, at the Crocodile standard. </t>
  </si>
  <si>
    <t>They must remember to kick with pointed feet on their preferred side for 5m.</t>
  </si>
  <si>
    <t>They must remember to maintain a near-horizontal body position in the water, and kick from the hips while moving their arms in a full-circle motion. </t>
  </si>
  <si>
    <t>They must remember to kick on their front in a near-horizontal body position, before comfortably recovering to a vertical position.</t>
  </si>
  <si>
    <t>They must remember to maintain a near-horizontal body position on their back, with their arms and hands resting alongside their body. </t>
  </si>
  <si>
    <t>They must remember to kick with their head turned to the side, with their ear resting in the water near their shoulder. </t>
  </si>
  <si>
    <t>They must remember to move their arms in a full-circle motion, reaching out in front of their head, and pulling their hands past their navel.</t>
  </si>
  <si>
    <t>at 10m of kicking with a buoyant object</t>
  </si>
  <si>
    <t>kicking with a buoyant object</t>
  </si>
  <si>
    <t>at their surface support for 10 sec</t>
  </si>
  <si>
    <t>at their surface support in chest deep water for 5 sec</t>
  </si>
  <si>
    <t>at jumping into chest deep water surface support for 5 sec</t>
  </si>
  <si>
    <t>at their front float and recovery in deep water for 5 sec</t>
  </si>
  <si>
    <t>at their back float and recovery in deep water for 5 sec</t>
  </si>
  <si>
    <t>at jumping into deep water surface support for 10 sec</t>
  </si>
  <si>
    <t>kicking 15m</t>
  </si>
  <si>
    <t>distance swim 15m</t>
  </si>
  <si>
    <t>surface support 20 sec</t>
  </si>
  <si>
    <t>jump into deep water, swim 5m, stationary surface support 20 sec</t>
  </si>
  <si>
    <t>stop! call for help! throwing assist</t>
  </si>
  <si>
    <t>front glide with kick 10m</t>
  </si>
  <si>
    <t>back glide with kick 10m</t>
  </si>
  <si>
    <t>kicking</t>
  </si>
  <si>
    <t>stop call for help throwing assist</t>
  </si>
  <si>
    <t>rhythmic breathing front to side glide with kick</t>
  </si>
  <si>
    <t>rhythmic breathing, front to side glide with kick, 10 times. </t>
  </si>
  <si>
    <t>side glide with kick 10m</t>
  </si>
  <si>
    <t>They are now able to travel 15m using different types of kick.</t>
  </si>
  <si>
    <t>They must remember to move at least 15m using effective arm and leg propulsion.</t>
  </si>
  <si>
    <t>They are now able to sit on the pool edge, extend their arms over their head, tuck their chin, and lean forward into the water. </t>
  </si>
  <si>
    <t>They can now use a combination of leg and arm movements to keep their head above the water for 20 seconds.</t>
  </si>
  <si>
    <t>They can now use the “stop, look, ask” principle before jumping into deep water.</t>
  </si>
  <si>
    <t>They are now able to recognize a distressed swimmer in the water, call for help, and throw a buoyant object to a target.</t>
  </si>
  <si>
    <t>They are now able to begin in a side glide position, before rolling to their front, with their face in the water.</t>
  </si>
  <si>
    <t>They are now able to perform front glide with kick, alternating their legs up and down.</t>
  </si>
  <si>
    <t>They are now able to perform back glide with kick, alternating their legs up and down at or just below the surface with pointed toes.</t>
  </si>
  <si>
    <t>They can now glide on each side with one arm extended above their head, and the other beside their body.</t>
  </si>
  <si>
    <t>They must ensure that they can travel 15m using different types of kick.</t>
  </si>
  <si>
    <t>They can now push with their feet from the side of the pool as they enter, and finish in a front glide position.</t>
  </si>
  <si>
    <t>They must remember to use a combination of leg and arm movements to keep their head above the water for 20 seconds. </t>
  </si>
  <si>
    <t>They are now able to surface, swim 5m, and do surface support for 20 seconds.</t>
  </si>
  <si>
    <t>They can now get help from a caregiver, known adult, or instructor.</t>
  </si>
  <si>
    <t>They can now roll to the side, while keeping their mouth just above the surface and inhaling.</t>
  </si>
  <si>
    <t>They are now able to perform kick continuously, and travel 10m on their front.</t>
  </si>
  <si>
    <t>They are now able to kick continuously on their back for 10m in a near-horizontal body position, with their arms and hands resting by their sides.</t>
  </si>
  <si>
    <t>They are now able to kick on each side with pointed feet for 10m.</t>
  </si>
  <si>
    <t>They must remember to sit on the pool edge, extend their arms over their head, tuck their chin, and lean forward into the water. </t>
  </si>
  <si>
    <t>They are now able to swim back to the wall unassisted following their surface support.</t>
  </si>
  <si>
    <t>They must remember to recognize a distressed swimmer in the water, call for help, and throw a buoyant object to a target.</t>
  </si>
  <si>
    <t>They are now able to maintain a streamlined body position, with their arms fully extended above their head, before comfortably recovering to a vertical position following the glide.</t>
  </si>
  <si>
    <t>They must remember to perform back glide with kick, alternating their legs up and down at or just below the surface with pointed toes.</t>
  </si>
  <si>
    <t>They must remember to push with their feet from the side of the pool as they enter, and finish in a front glide position.</t>
  </si>
  <si>
    <t>They must remember to use the “stop, look, ask” principle before jumping into deep water. </t>
  </si>
  <si>
    <t>They must remember to get help from a caregiver, known adult, or instructor.</t>
  </si>
  <si>
    <t>They must remember to begin in a side glide position, before rolling to their front, with their face in the water.</t>
  </si>
  <si>
    <t>They must remember to perform front glide with kick, alternating their legs up and down.</t>
  </si>
  <si>
    <t>They must remember to kick continuously on their back for 10m in a near-horizontal body position, with their arms and hands resting by their sides. </t>
  </si>
  <si>
    <t>They must remember to glide on each side with one arm extended above their head, and the other beside their body. </t>
  </si>
  <si>
    <t>They must remember to surface, swim 5m, and do surface support for 20 seconds.</t>
  </si>
  <si>
    <t>They must remember to roll to the side, while keeping their mouth just above the surface and inhaling.</t>
  </si>
  <si>
    <t>They must remember to perform kick continuously, and travel 10m on their front.</t>
  </si>
  <si>
    <t>They must remember to kick on each side with pointed feet for 10m.</t>
  </si>
  <si>
    <t>They must ensure that they can swim back to the wall unassisted following their surface support.</t>
  </si>
  <si>
    <t>They must remember to maintain a streamlined body position, with their arms fully extended above their head, before comfortably recovering to a vertical position following the glide.</t>
  </si>
  <si>
    <t>They must remember to kick with their head turned to the side, with their ear resting in the water near their shoulder.</t>
  </si>
  <si>
    <t>They are now able to perform rhythmic and relaxed breathing, with noticeable and effective exhalation and inhalation, on each repetition.</t>
  </si>
  <si>
    <t>They must remember to perform rhythmic and relaxed breathing, with noticeable and effective exhalation and inhalation, on each repetition.</t>
  </si>
  <si>
    <t>They are now able to swim on their front with their face in the water for 10m at the Whale standard.</t>
  </si>
  <si>
    <t>They must remember to swim on their front with their face in the water for 10m at the Whale standard. </t>
  </si>
  <si>
    <t>at 15m of kicking</t>
  </si>
  <si>
    <t>at their surface support for 20 sec</t>
  </si>
  <si>
    <t>at jumping into deep water</t>
  </si>
  <si>
    <t>jumping into deep water</t>
  </si>
  <si>
    <t>at learning to stop call for help throwing assist</t>
  </si>
  <si>
    <t>at their rhythmic breathing front to side glide with kick</t>
  </si>
  <si>
    <t>at their 10m of back swim</t>
  </si>
  <si>
    <t>at their 10m of front swim</t>
  </si>
  <si>
    <t>at their 10m of side glide with kick</t>
  </si>
  <si>
    <t>at their 10m of front glide with kick</t>
  </si>
  <si>
    <t>at their 10m of back glide with kick</t>
  </si>
  <si>
    <t>They can now move at least 15m using effective arm and leg propulsion.</t>
  </si>
  <si>
    <r>
      <rPr>
        <b/>
        <sz val="14"/>
        <color theme="1"/>
        <rFont val="Calibri"/>
        <family val="2"/>
        <scheme val="minor"/>
      </rPr>
      <t>SRC Preschool Progress/Report Card Generator v1.3.1</t>
    </r>
    <r>
      <rPr>
        <b/>
        <sz val="16"/>
        <color theme="1"/>
        <rFont val="Calibri"/>
        <family val="2"/>
        <scheme val="minor"/>
      </rPr>
      <t xml:space="preserve">     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</si>
</sst>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/>
      <top/>
      <bottom style="medium">
        <color rgb="FFCCCCCC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3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/>
    <xf numFmtId="0" fontId="3" fillId="0" borderId="1" xfId="0" applyFont="1" applyBorder="1" applyAlignment="1"/>
    <xf numFmtId="0" fontId="0" fillId="0" borderId="0" xfId="0" applyFill="1"/>
    <xf numFmtId="0" fontId="0" fillId="0" borderId="0" xfId="0" applyFill="1" applyAlignme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Alignment="1">
      <alignment wrapText="1"/>
    </xf>
    <xf numFmtId="0" fontId="2" fillId="0" borderId="2" xfId="0" applyFont="1" applyFill="1" applyBorder="1" applyAlignment="1"/>
    <xf numFmtId="0" fontId="0" fillId="2" borderId="0" xfId="0" applyFill="1" applyAlignment="1"/>
    <xf numFmtId="0" fontId="0" fillId="0" borderId="0" xfId="0" applyAlignment="1" applyProtection="1"/>
    <xf numFmtId="0" fontId="0" fillId="0" borderId="0" xfId="0" applyFill="1" applyAlignment="1">
      <alignment wrapText="1"/>
    </xf>
    <xf numFmtId="0" fontId="3" fillId="0" borderId="0" xfId="0" applyFont="1" applyFill="1" applyBorder="1" applyAlignment="1"/>
    <xf numFmtId="0" fontId="5" fillId="0" borderId="0" xfId="0" applyFont="1"/>
    <xf numFmtId="0" fontId="5" fillId="0" borderId="0" xfId="0" applyFont="1" applyFill="1"/>
    <xf numFmtId="0" fontId="2" fillId="5" borderId="1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5" borderId="3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0</xdr:row>
      <xdr:rowOff>0</xdr:rowOff>
    </xdr:from>
    <xdr:to>
      <xdr:col>13</xdr:col>
      <xdr:colOff>0</xdr:colOff>
      <xdr:row>0</xdr:row>
      <xdr:rowOff>247650</xdr:rowOff>
    </xdr:to>
    <xdr:sp macro="[0]!PDFTemplate" textlink="">
      <xdr:nvSpPr>
        <xdr:cNvPr id="2" name="Rectangle 1">
          <a:extLst>
            <a:ext uri="{FF2B5EF4-FFF2-40B4-BE49-F238E27FC236}">
              <a16:creationId xmlns:a16="http://schemas.microsoft.com/office/drawing/2014/main" id="{9535C861-A79B-46F2-BADA-BC60BA6D003B}"/>
            </a:ext>
          </a:extLst>
        </xdr:cNvPr>
        <xdr:cNvSpPr/>
      </xdr:nvSpPr>
      <xdr:spPr>
        <a:xfrm>
          <a:off x="6029325" y="6067425"/>
          <a:ext cx="11144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 File:</a:t>
          </a:r>
          <a:endParaRPr lang="en-CA" sz="1400">
            <a:effectLst/>
          </a:endParaRPr>
        </a:p>
      </xdr:txBody>
    </xdr:sp>
    <xdr:clientData/>
  </xdr:twoCellAnchor>
  <xdr:twoCellAnchor>
    <xdr:from>
      <xdr:col>12</xdr:col>
      <xdr:colOff>0</xdr:colOff>
      <xdr:row>2</xdr:row>
      <xdr:rowOff>9525</xdr:rowOff>
    </xdr:from>
    <xdr:to>
      <xdr:col>13</xdr:col>
      <xdr:colOff>0</xdr:colOff>
      <xdr:row>2</xdr:row>
      <xdr:rowOff>247650</xdr:rowOff>
    </xdr:to>
    <xdr:sp macro="[0]!SavePDFFolder" textlink="">
      <xdr:nvSpPr>
        <xdr:cNvPr id="4" name="Rectangle 3">
          <a:extLst>
            <a:ext uri="{FF2B5EF4-FFF2-40B4-BE49-F238E27FC236}">
              <a16:creationId xmlns:a16="http://schemas.microsoft.com/office/drawing/2014/main" id="{45AEA00D-83D8-48AF-8D68-3C95A00594C9}"/>
            </a:ext>
          </a:extLst>
        </xdr:cNvPr>
        <xdr:cNvSpPr/>
      </xdr:nvSpPr>
      <xdr:spPr>
        <a:xfrm>
          <a:off x="6019800" y="6524625"/>
          <a:ext cx="11239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/>
            <a:t>Select Folder:</a:t>
          </a:r>
          <a:endParaRPr lang="en-CA" sz="1400" b="1"/>
        </a:p>
      </xdr:txBody>
    </xdr:sp>
    <xdr:clientData/>
  </xdr:twoCellAnchor>
  <xdr:twoCellAnchor>
    <xdr:from>
      <xdr:col>0</xdr:col>
      <xdr:colOff>1</xdr:colOff>
      <xdr:row>0</xdr:row>
      <xdr:rowOff>2351</xdr:rowOff>
    </xdr:from>
    <xdr:to>
      <xdr:col>0</xdr:col>
      <xdr:colOff>823147</xdr:colOff>
      <xdr:row>1</xdr:row>
      <xdr:rowOff>35277</xdr:rowOff>
    </xdr:to>
    <xdr:sp macro="[0]!Clearcells" textlink="">
      <xdr:nvSpPr>
        <xdr:cNvPr id="13" name="Rectangle 12">
          <a:extLst>
            <a:ext uri="{FF2B5EF4-FFF2-40B4-BE49-F238E27FC236}">
              <a16:creationId xmlns:a16="http://schemas.microsoft.com/office/drawing/2014/main" id="{B1ABD375-51E0-45D5-B15B-C7DBECDE5E7B}"/>
            </a:ext>
          </a:extLst>
        </xdr:cNvPr>
        <xdr:cNvSpPr/>
      </xdr:nvSpPr>
      <xdr:spPr>
        <a:xfrm>
          <a:off x="1" y="2351"/>
          <a:ext cx="823146" cy="291630"/>
        </a:xfrm>
        <a:prstGeom prst="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</a:t>
          </a:r>
          <a:endParaRPr kumimoji="0" lang="en-CA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6208888</xdr:colOff>
      <xdr:row>1</xdr:row>
      <xdr:rowOff>1994</xdr:rowOff>
    </xdr:from>
    <xdr:to>
      <xdr:col>25</xdr:col>
      <xdr:colOff>3066</xdr:colOff>
      <xdr:row>2</xdr:row>
      <xdr:rowOff>235186</xdr:rowOff>
    </xdr:to>
    <xdr:sp macro="[0]!CreatePDFForms" textlink="">
      <xdr:nvSpPr>
        <xdr:cNvPr id="7" name="Rectangle 6">
          <a:extLst>
            <a:ext uri="{FF2B5EF4-FFF2-40B4-BE49-F238E27FC236}">
              <a16:creationId xmlns:a16="http://schemas.microsoft.com/office/drawing/2014/main" id="{930C8CBA-DCEF-401D-88ED-6AFFB2C46947}"/>
            </a:ext>
          </a:extLst>
        </xdr:cNvPr>
        <xdr:cNvSpPr/>
      </xdr:nvSpPr>
      <xdr:spPr>
        <a:xfrm>
          <a:off x="22977592" y="260698"/>
          <a:ext cx="1755196" cy="4918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Generate PDF</a:t>
          </a:r>
        </a:p>
      </xdr:txBody>
    </xdr:sp>
    <xdr:clientData/>
  </xdr:twoCellAnchor>
  <xdr:twoCellAnchor>
    <xdr:from>
      <xdr:col>15</xdr:col>
      <xdr:colOff>870186</xdr:colOff>
      <xdr:row>1</xdr:row>
      <xdr:rowOff>2183</xdr:rowOff>
    </xdr:from>
    <xdr:to>
      <xdr:col>16</xdr:col>
      <xdr:colOff>1211203</xdr:colOff>
      <xdr:row>2</xdr:row>
      <xdr:rowOff>246945</xdr:rowOff>
    </xdr:to>
    <xdr:sp macro="[0]!Copy_Values" textlink="">
      <xdr:nvSpPr>
        <xdr:cNvPr id="3" name="Rectangle 2">
          <a:extLst>
            <a:ext uri="{FF2B5EF4-FFF2-40B4-BE49-F238E27FC236}">
              <a16:creationId xmlns:a16="http://schemas.microsoft.com/office/drawing/2014/main" id="{68C391DF-313F-49C8-93F7-B5E00A8607E3}"/>
            </a:ext>
          </a:extLst>
        </xdr:cNvPr>
        <xdr:cNvSpPr/>
      </xdr:nvSpPr>
      <xdr:spPr>
        <a:xfrm>
          <a:off x="16756945" y="260887"/>
          <a:ext cx="1222962" cy="5034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Comment</a:t>
          </a:r>
          <a:endParaRPr lang="en-CA" sz="1200" b="1"/>
        </a:p>
      </xdr:txBody>
    </xdr:sp>
    <xdr:clientData/>
  </xdr:twoCellAnchor>
  <xdr:twoCellAnchor>
    <xdr:from>
      <xdr:col>16</xdr:col>
      <xdr:colOff>2670979</xdr:colOff>
      <xdr:row>1</xdr:row>
      <xdr:rowOff>9406</xdr:rowOff>
    </xdr:from>
    <xdr:to>
      <xdr:col>16</xdr:col>
      <xdr:colOff>3774722</xdr:colOff>
      <xdr:row>3</xdr:row>
      <xdr:rowOff>0</xdr:rowOff>
    </xdr:to>
    <xdr:sp macro="[0]!separatetext" textlink="">
      <xdr:nvSpPr>
        <xdr:cNvPr id="9" name="Rectangle 8">
          <a:extLst>
            <a:ext uri="{FF2B5EF4-FFF2-40B4-BE49-F238E27FC236}">
              <a16:creationId xmlns:a16="http://schemas.microsoft.com/office/drawing/2014/main" id="{021F75B4-D087-4268-B75D-51F29500F5C2}"/>
            </a:ext>
          </a:extLst>
        </xdr:cNvPr>
        <xdr:cNvSpPr/>
      </xdr:nvSpPr>
      <xdr:spPr>
        <a:xfrm>
          <a:off x="19439683" y="268110"/>
          <a:ext cx="1103743" cy="5080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Split Text</a:t>
          </a:r>
          <a:endParaRPr lang="en-CA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667B8-B4D7-4526-8479-CA3BBA13CD19}">
  <sheetPr codeName="Sheet1"/>
  <dimension ref="A1:AA113"/>
  <sheetViews>
    <sheetView tabSelected="1" zoomScale="81" zoomScaleNormal="90" workbookViewId="0">
      <selection activeCell="E9" sqref="E9"/>
    </sheetView>
  </sheetViews>
  <sheetFormatPr defaultRowHeight="15" x14ac:dyDescent="0.25"/>
  <cols>
    <col min="1" max="1" width="13.28515625" customWidth="1"/>
    <col min="2" max="2" width="15.7109375" customWidth="1"/>
    <col min="3" max="3" width="15.140625" customWidth="1"/>
    <col min="4" max="4" width="12.140625" customWidth="1"/>
    <col min="5" max="5" width="11.5703125" customWidth="1"/>
    <col min="6" max="6" width="7.28515625" customWidth="1"/>
    <col min="7" max="7" width="14.140625" customWidth="1"/>
    <col min="8" max="8" width="21.140625" customWidth="1"/>
    <col min="9" max="9" width="16.5703125" customWidth="1"/>
    <col min="10" max="10" width="16.85546875" customWidth="1"/>
    <col min="11" max="11" width="17.7109375" customWidth="1"/>
    <col min="12" max="12" width="17.5703125" customWidth="1"/>
    <col min="13" max="13" width="16.85546875" customWidth="1"/>
    <col min="14" max="14" width="19.28515625" customWidth="1"/>
    <col min="15" max="15" width="23" customWidth="1"/>
    <col min="16" max="16" width="13.28515625" customWidth="1"/>
    <col min="17" max="17" width="97.85546875" customWidth="1"/>
    <col min="18" max="24" width="1.7109375" customWidth="1"/>
  </cols>
  <sheetData>
    <row r="1" spans="1:27" ht="20.25" customHeight="1" x14ac:dyDescent="0.25">
      <c r="A1" s="26" t="s">
        <v>403</v>
      </c>
      <c r="B1" s="27"/>
      <c r="C1" s="27"/>
      <c r="D1" s="27"/>
      <c r="E1" s="27"/>
      <c r="F1" s="27"/>
      <c r="G1" s="22" t="s">
        <v>32</v>
      </c>
      <c r="H1" s="23"/>
      <c r="I1" s="13"/>
      <c r="J1" s="13"/>
      <c r="K1" s="13"/>
      <c r="L1" s="13"/>
      <c r="M1" s="6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</row>
    <row r="2" spans="1:27" ht="20.25" customHeight="1" x14ac:dyDescent="0.25">
      <c r="A2" s="27"/>
      <c r="B2" s="27"/>
      <c r="C2" s="27"/>
      <c r="D2" s="27"/>
      <c r="E2" s="27"/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ht="20.25" customHeight="1" x14ac:dyDescent="0.25">
      <c r="A3" s="27"/>
      <c r="B3" s="27"/>
      <c r="C3" s="27"/>
      <c r="D3" s="27"/>
      <c r="E3" s="27"/>
      <c r="F3" s="27"/>
      <c r="G3" s="22" t="s">
        <v>33</v>
      </c>
      <c r="H3" s="23"/>
      <c r="I3" s="13"/>
      <c r="J3" s="13"/>
      <c r="K3" s="13"/>
      <c r="L3" s="13"/>
      <c r="M3" s="6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 ht="20.25" customHeight="1" thickBot="1" x14ac:dyDescent="0.3">
      <c r="A4" s="28"/>
      <c r="B4" s="28"/>
      <c r="C4" s="28"/>
      <c r="D4" s="28"/>
      <c r="E4" s="28"/>
      <c r="F4" s="28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1"/>
      <c r="AA4" s="21"/>
    </row>
    <row r="5" spans="1:27" ht="26.25" thickBot="1" x14ac:dyDescent="0.3">
      <c r="A5" s="19" t="s">
        <v>0</v>
      </c>
      <c r="B5" s="19" t="s">
        <v>1</v>
      </c>
      <c r="C5" s="19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20" t="s">
        <v>31</v>
      </c>
      <c r="I5" s="19" t="s">
        <v>7</v>
      </c>
      <c r="J5" s="19" t="s">
        <v>8</v>
      </c>
      <c r="K5" s="19" t="s">
        <v>9</v>
      </c>
      <c r="L5" s="19" t="s">
        <v>10</v>
      </c>
      <c r="M5" s="19" t="s">
        <v>11</v>
      </c>
      <c r="N5" s="19" t="s">
        <v>12</v>
      </c>
      <c r="O5" s="20" t="s">
        <v>30</v>
      </c>
      <c r="P5" s="19" t="s">
        <v>13</v>
      </c>
      <c r="Q5" s="20" t="s">
        <v>41</v>
      </c>
      <c r="R5" s="24"/>
      <c r="S5" s="25"/>
      <c r="T5" s="25"/>
      <c r="U5" s="25"/>
      <c r="V5" s="25"/>
      <c r="W5" s="25"/>
      <c r="X5" s="25"/>
      <c r="Y5" s="25"/>
      <c r="Z5" s="21"/>
      <c r="AA5" s="21"/>
    </row>
    <row r="6" spans="1:27" x14ac:dyDescent="0.25">
      <c r="I6" s="10"/>
      <c r="J6" s="10"/>
      <c r="Q6" s="11"/>
      <c r="R6" s="10"/>
      <c r="S6" s="10"/>
      <c r="T6" s="10"/>
      <c r="U6" s="10"/>
      <c r="V6" s="10"/>
      <c r="W6" s="10"/>
      <c r="Y6" s="14" t="e">
        <f t="shared" ref="Y6:Y69" ca="1" si="0">SUBSTITUTE(H6&amp;" NAME has excelled "&amp;VLOOKUP("*"&amp;I6&amp;"*",INDIRECT(SUBSTITUTE(G6," ","")&amp;"_Comm",TRUE),1,0)&amp;".; "&amp;J6&amp;"; With further practice, NAME will have the opportunity to improve "&amp;VLOOKUP("*"&amp;K6&amp;"*",INDIRECT(SUBSTITUTE(G6," ","")&amp;"_Comm",TRUE),1,0)&amp;".; "&amp;L6&amp;"; NAME has also excelled "&amp;VLOOKUP("*"&amp;M6&amp;"*",INDIRECT(SUBSTITUTE(G6," ","")&amp;"_Comm",TRUE),1,0)&amp;".; "&amp;N6&amp;""&amp;"; "&amp;O6,"NAME",A6)</f>
        <v>#REF!</v>
      </c>
      <c r="Z6" s="21"/>
      <c r="AA6" s="21"/>
    </row>
    <row r="7" spans="1:27" x14ac:dyDescent="0.25">
      <c r="I7" s="10"/>
      <c r="J7" s="10"/>
      <c r="Q7" s="11"/>
      <c r="R7" s="17"/>
      <c r="S7" s="17"/>
      <c r="T7" s="17"/>
      <c r="U7" s="17"/>
      <c r="V7" s="17"/>
      <c r="Y7" s="14" t="e">
        <f t="shared" ca="1" si="0"/>
        <v>#REF!</v>
      </c>
      <c r="Z7" s="21"/>
      <c r="AA7" s="21"/>
    </row>
    <row r="8" spans="1:27" x14ac:dyDescent="0.25">
      <c r="I8" s="10"/>
      <c r="J8" s="10"/>
      <c r="Q8" s="11"/>
      <c r="R8" s="17"/>
      <c r="S8" s="17"/>
      <c r="T8" s="17"/>
      <c r="U8" s="17"/>
      <c r="V8" s="17"/>
      <c r="Y8" s="14" t="e">
        <f t="shared" ca="1" si="0"/>
        <v>#REF!</v>
      </c>
      <c r="Z8" s="21"/>
      <c r="AA8" s="21"/>
    </row>
    <row r="9" spans="1:27" x14ac:dyDescent="0.25">
      <c r="I9" s="10"/>
      <c r="J9" s="10"/>
      <c r="Q9" s="11"/>
      <c r="R9" s="17"/>
      <c r="S9" s="17"/>
      <c r="T9" s="17"/>
      <c r="U9" s="17"/>
      <c r="V9" s="17"/>
      <c r="Y9" s="14" t="e">
        <f t="shared" ca="1" si="0"/>
        <v>#REF!</v>
      </c>
      <c r="Z9" s="21"/>
      <c r="AA9" s="21"/>
    </row>
    <row r="10" spans="1:27" x14ac:dyDescent="0.25">
      <c r="I10" s="10"/>
      <c r="J10" s="10"/>
      <c r="Q10" s="11"/>
      <c r="R10" s="17"/>
      <c r="S10" s="17"/>
      <c r="T10" s="17"/>
      <c r="U10" s="17"/>
      <c r="V10" s="17"/>
      <c r="Y10" s="14" t="e">
        <f t="shared" ca="1" si="0"/>
        <v>#REF!</v>
      </c>
      <c r="Z10" s="21"/>
      <c r="AA10" s="21"/>
    </row>
    <row r="11" spans="1:27" x14ac:dyDescent="0.25">
      <c r="I11" s="10"/>
      <c r="J11" s="10"/>
      <c r="Q11" s="11"/>
      <c r="R11" s="17"/>
      <c r="S11" s="17"/>
      <c r="T11" s="17"/>
      <c r="U11" s="17"/>
      <c r="V11" s="17"/>
      <c r="Y11" s="14" t="e">
        <f t="shared" ca="1" si="0"/>
        <v>#REF!</v>
      </c>
      <c r="Z11" s="21"/>
      <c r="AA11" s="21"/>
    </row>
    <row r="12" spans="1:27" x14ac:dyDescent="0.25">
      <c r="I12" s="10"/>
      <c r="J12" s="10"/>
      <c r="Q12" s="11"/>
      <c r="R12" s="17"/>
      <c r="S12" s="17"/>
      <c r="T12" s="17"/>
      <c r="U12" s="17"/>
      <c r="V12" s="17"/>
      <c r="Y12" s="14" t="e">
        <f t="shared" ca="1" si="0"/>
        <v>#REF!</v>
      </c>
      <c r="Z12" s="21"/>
      <c r="AA12" s="21"/>
    </row>
    <row r="13" spans="1:27" x14ac:dyDescent="0.25">
      <c r="I13" s="10"/>
      <c r="J13" s="10"/>
      <c r="Q13" s="11"/>
      <c r="R13" s="17"/>
      <c r="S13" s="17"/>
      <c r="T13" s="17"/>
      <c r="U13" s="17"/>
      <c r="V13" s="17"/>
      <c r="Y13" s="14" t="e">
        <f t="shared" ca="1" si="0"/>
        <v>#REF!</v>
      </c>
      <c r="Z13" s="21"/>
      <c r="AA13" s="21"/>
    </row>
    <row r="14" spans="1:27" x14ac:dyDescent="0.25">
      <c r="I14" s="10"/>
      <c r="J14" s="10"/>
      <c r="Q14" s="11"/>
      <c r="R14" s="17"/>
      <c r="S14" s="17"/>
      <c r="T14" s="17"/>
      <c r="U14" s="17"/>
      <c r="V14" s="17"/>
      <c r="Y14" s="14" t="e">
        <f t="shared" ca="1" si="0"/>
        <v>#REF!</v>
      </c>
      <c r="Z14" s="21"/>
      <c r="AA14" s="21"/>
    </row>
    <row r="15" spans="1:27" x14ac:dyDescent="0.25">
      <c r="I15" s="10"/>
      <c r="J15" s="10"/>
      <c r="Q15" s="11"/>
      <c r="R15" s="17"/>
      <c r="S15" s="17"/>
      <c r="T15" s="17"/>
      <c r="U15" s="17"/>
      <c r="V15" s="17"/>
      <c r="Y15" s="14" t="e">
        <f t="shared" ca="1" si="0"/>
        <v>#REF!</v>
      </c>
      <c r="Z15" s="21"/>
      <c r="AA15" s="21"/>
    </row>
    <row r="16" spans="1:27" x14ac:dyDescent="0.25">
      <c r="I16" s="10"/>
      <c r="J16" s="10"/>
      <c r="Q16" s="11"/>
      <c r="R16" s="17"/>
      <c r="S16" s="17"/>
      <c r="T16" s="17"/>
      <c r="U16" s="17"/>
      <c r="V16" s="17"/>
      <c r="Y16" s="14" t="e">
        <f t="shared" ca="1" si="0"/>
        <v>#REF!</v>
      </c>
      <c r="Z16" s="21"/>
      <c r="AA16" s="21"/>
    </row>
    <row r="17" spans="4:27" x14ac:dyDescent="0.25">
      <c r="I17" s="10"/>
      <c r="J17" s="10"/>
      <c r="Q17" s="11"/>
      <c r="R17" s="17"/>
      <c r="S17" s="17"/>
      <c r="T17" s="17"/>
      <c r="U17" s="17"/>
      <c r="V17" s="17"/>
      <c r="Y17" s="14" t="e">
        <f t="shared" ca="1" si="0"/>
        <v>#REF!</v>
      </c>
      <c r="Z17" s="21"/>
      <c r="AA17" s="21"/>
    </row>
    <row r="18" spans="4:27" x14ac:dyDescent="0.25">
      <c r="I18" s="10"/>
      <c r="J18" s="10"/>
      <c r="Q18" s="11"/>
      <c r="R18" s="17"/>
      <c r="S18" s="17"/>
      <c r="T18" s="17"/>
      <c r="U18" s="17"/>
      <c r="V18" s="17"/>
      <c r="Y18" s="14" t="e">
        <f t="shared" ca="1" si="0"/>
        <v>#REF!</v>
      </c>
      <c r="Z18" s="21"/>
      <c r="AA18" s="21"/>
    </row>
    <row r="19" spans="4:27" x14ac:dyDescent="0.25">
      <c r="I19" s="10"/>
      <c r="J19" s="10"/>
      <c r="Q19" s="11"/>
      <c r="R19" s="17"/>
      <c r="S19" s="17"/>
      <c r="T19" s="17"/>
      <c r="U19" s="17"/>
      <c r="V19" s="17"/>
      <c r="Y19" s="14" t="e">
        <f t="shared" ca="1" si="0"/>
        <v>#REF!</v>
      </c>
      <c r="Z19" s="21"/>
      <c r="AA19" s="21"/>
    </row>
    <row r="20" spans="4:27" x14ac:dyDescent="0.25">
      <c r="I20" s="10"/>
      <c r="J20" s="10"/>
      <c r="Q20" s="11"/>
      <c r="R20" s="17"/>
      <c r="S20" s="17"/>
      <c r="T20" s="17"/>
      <c r="U20" s="17"/>
      <c r="V20" s="17"/>
      <c r="Y20" s="14" t="e">
        <f t="shared" ca="1" si="0"/>
        <v>#REF!</v>
      </c>
      <c r="Z20" s="21"/>
      <c r="AA20" s="21"/>
    </row>
    <row r="21" spans="4:27" x14ac:dyDescent="0.25">
      <c r="I21" s="10"/>
      <c r="J21" s="10"/>
      <c r="Q21" s="11"/>
      <c r="R21" s="17"/>
      <c r="S21" s="17"/>
      <c r="T21" s="17"/>
      <c r="U21" s="17"/>
      <c r="V21" s="17"/>
      <c r="Y21" s="14" t="e">
        <f t="shared" ca="1" si="0"/>
        <v>#REF!</v>
      </c>
      <c r="Z21" s="21"/>
      <c r="AA21" s="21"/>
    </row>
    <row r="22" spans="4:27" x14ac:dyDescent="0.25">
      <c r="I22" s="10"/>
      <c r="J22" s="10"/>
      <c r="Q22" s="11"/>
      <c r="R22" s="17"/>
      <c r="S22" s="17"/>
      <c r="T22" s="17"/>
      <c r="U22" s="17"/>
      <c r="V22" s="17"/>
      <c r="Y22" s="14" t="e">
        <f t="shared" ca="1" si="0"/>
        <v>#REF!</v>
      </c>
      <c r="Z22" s="21"/>
      <c r="AA22" s="21"/>
    </row>
    <row r="23" spans="4:27" x14ac:dyDescent="0.25">
      <c r="I23" s="10"/>
      <c r="J23" s="10"/>
      <c r="Q23" s="11"/>
      <c r="R23" s="17"/>
      <c r="S23" s="17"/>
      <c r="T23" s="17"/>
      <c r="U23" s="17"/>
      <c r="V23" s="17"/>
      <c r="Y23" s="14" t="e">
        <f t="shared" ca="1" si="0"/>
        <v>#REF!</v>
      </c>
      <c r="Z23" s="21"/>
      <c r="AA23" s="21"/>
    </row>
    <row r="24" spans="4:27" x14ac:dyDescent="0.25">
      <c r="I24" s="10"/>
      <c r="J24" s="10"/>
      <c r="Q24" s="11"/>
      <c r="R24" s="17"/>
      <c r="S24" s="17"/>
      <c r="T24" s="17"/>
      <c r="U24" s="17"/>
      <c r="V24" s="17"/>
      <c r="Y24" s="14" t="e">
        <f t="shared" ca="1" si="0"/>
        <v>#REF!</v>
      </c>
      <c r="Z24" s="21"/>
      <c r="AA24" s="21"/>
    </row>
    <row r="25" spans="4:27" x14ac:dyDescent="0.25">
      <c r="I25" s="10"/>
      <c r="J25" s="10"/>
      <c r="Q25" s="11"/>
      <c r="R25" s="17"/>
      <c r="S25" s="17"/>
      <c r="T25" s="17"/>
      <c r="U25" s="17"/>
      <c r="V25" s="17"/>
      <c r="Y25" s="14" t="e">
        <f t="shared" ca="1" si="0"/>
        <v>#REF!</v>
      </c>
      <c r="Z25" s="21"/>
      <c r="AA25" s="21"/>
    </row>
    <row r="26" spans="4:27" x14ac:dyDescent="0.25">
      <c r="I26" s="10"/>
      <c r="J26" s="10"/>
      <c r="Q26" s="11"/>
      <c r="R26" s="17"/>
      <c r="S26" s="17"/>
      <c r="T26" s="17"/>
      <c r="U26" s="17"/>
      <c r="V26" s="17"/>
      <c r="Y26" s="14" t="e">
        <f t="shared" ca="1" si="0"/>
        <v>#REF!</v>
      </c>
      <c r="Z26" s="21"/>
      <c r="AA26" s="21"/>
    </row>
    <row r="27" spans="4:27" x14ac:dyDescent="0.25">
      <c r="I27" s="10"/>
      <c r="J27" s="10"/>
      <c r="Q27" s="11"/>
      <c r="R27" s="17"/>
      <c r="S27" s="17"/>
      <c r="T27" s="17"/>
      <c r="U27" s="17"/>
      <c r="V27" s="17"/>
      <c r="Y27" s="14" t="e">
        <f t="shared" ca="1" si="0"/>
        <v>#REF!</v>
      </c>
      <c r="Z27" s="21"/>
      <c r="AA27" s="21"/>
    </row>
    <row r="28" spans="4:27" x14ac:dyDescent="0.25">
      <c r="I28" s="10"/>
      <c r="J28" s="10"/>
      <c r="Q28" s="11"/>
      <c r="R28" s="17"/>
      <c r="S28" s="17"/>
      <c r="T28" s="17"/>
      <c r="U28" s="17"/>
      <c r="V28" s="17"/>
      <c r="Y28" s="14" t="e">
        <f t="shared" ca="1" si="0"/>
        <v>#REF!</v>
      </c>
      <c r="Z28" s="21"/>
      <c r="AA28" s="21"/>
    </row>
    <row r="29" spans="4:27" x14ac:dyDescent="0.25">
      <c r="I29" s="10"/>
      <c r="J29" s="10"/>
      <c r="Q29" s="11"/>
      <c r="R29" s="17"/>
      <c r="S29" s="17"/>
      <c r="T29" s="17"/>
      <c r="U29" s="17"/>
      <c r="V29" s="17"/>
      <c r="Y29" s="14" t="e">
        <f t="shared" ca="1" si="0"/>
        <v>#REF!</v>
      </c>
      <c r="Z29" s="21"/>
      <c r="AA29" s="21"/>
    </row>
    <row r="30" spans="4:27" s="18" customFormat="1" x14ac:dyDescent="0.25">
      <c r="D30"/>
      <c r="E30"/>
      <c r="F30"/>
      <c r="G30"/>
      <c r="H30"/>
      <c r="I30" s="10"/>
      <c r="J30" s="10"/>
      <c r="K30"/>
      <c r="L30"/>
      <c r="M30"/>
      <c r="N30"/>
      <c r="O30"/>
      <c r="P30"/>
      <c r="Q30" s="7"/>
      <c r="Y30" s="14" t="e">
        <f t="shared" ca="1" si="0"/>
        <v>#REF!</v>
      </c>
      <c r="Z30" s="21"/>
      <c r="AA30" s="21"/>
    </row>
    <row r="31" spans="4:27" s="6" customFormat="1" x14ac:dyDescent="0.25">
      <c r="D31"/>
      <c r="E31"/>
      <c r="F31"/>
      <c r="G31"/>
      <c r="H31"/>
      <c r="I31" s="10"/>
      <c r="J31" s="10"/>
      <c r="K31"/>
      <c r="L31"/>
      <c r="M31"/>
      <c r="N31"/>
      <c r="O31"/>
      <c r="P31"/>
      <c r="Q31" s="11"/>
      <c r="Y31" s="14" t="e">
        <f t="shared" ca="1" si="0"/>
        <v>#REF!</v>
      </c>
      <c r="Z31" s="21"/>
      <c r="AA31" s="21"/>
    </row>
    <row r="32" spans="4:27" s="6" customFormat="1" ht="15" customHeight="1" x14ac:dyDescent="0.25">
      <c r="D32"/>
      <c r="E32"/>
      <c r="F32"/>
      <c r="G32"/>
      <c r="H32"/>
      <c r="I32" s="10"/>
      <c r="J32" s="10"/>
      <c r="K32"/>
      <c r="L32"/>
      <c r="M32"/>
      <c r="N32"/>
      <c r="O32"/>
      <c r="P32"/>
      <c r="Q32" s="15"/>
      <c r="Y32" s="14" t="e">
        <f t="shared" ca="1" si="0"/>
        <v>#REF!</v>
      </c>
      <c r="Z32" s="21"/>
      <c r="AA32" s="21"/>
    </row>
    <row r="33" spans="4:27" s="6" customFormat="1" ht="15" customHeight="1" x14ac:dyDescent="0.25">
      <c r="D33"/>
      <c r="E33"/>
      <c r="F33"/>
      <c r="G33"/>
      <c r="H33"/>
      <c r="I33" s="10"/>
      <c r="J33" s="10"/>
      <c r="K33"/>
      <c r="L33"/>
      <c r="M33"/>
      <c r="N33"/>
      <c r="O33"/>
      <c r="P33"/>
      <c r="Q33" s="15"/>
      <c r="Y33" s="14" t="e">
        <f t="shared" ca="1" si="0"/>
        <v>#REF!</v>
      </c>
      <c r="Z33" s="21"/>
      <c r="AA33" s="21"/>
    </row>
    <row r="34" spans="4:27" s="6" customFormat="1" ht="15" customHeight="1" x14ac:dyDescent="0.25">
      <c r="D34"/>
      <c r="E34"/>
      <c r="F34"/>
      <c r="G34"/>
      <c r="H34"/>
      <c r="I34" s="10"/>
      <c r="J34" s="10"/>
      <c r="K34"/>
      <c r="L34"/>
      <c r="M34"/>
      <c r="N34"/>
      <c r="O34"/>
      <c r="P34"/>
      <c r="Q34" s="15"/>
      <c r="Y34" s="14" t="e">
        <f t="shared" ca="1" si="0"/>
        <v>#REF!</v>
      </c>
      <c r="Z34" s="21"/>
      <c r="AA34" s="21"/>
    </row>
    <row r="35" spans="4:27" s="6" customFormat="1" x14ac:dyDescent="0.25">
      <c r="D35"/>
      <c r="E35"/>
      <c r="F35"/>
      <c r="G35"/>
      <c r="H35"/>
      <c r="I35" s="10"/>
      <c r="J35" s="10"/>
      <c r="K35"/>
      <c r="L35"/>
      <c r="M35"/>
      <c r="N35"/>
      <c r="O35"/>
      <c r="P35"/>
      <c r="Q35" s="15"/>
      <c r="Y35" s="14" t="e">
        <f t="shared" ca="1" si="0"/>
        <v>#REF!</v>
      </c>
      <c r="Z35" s="21"/>
      <c r="AA35" s="21"/>
    </row>
    <row r="36" spans="4:27" x14ac:dyDescent="0.25">
      <c r="I36" s="10"/>
      <c r="J36" s="10"/>
      <c r="Q36" s="15"/>
      <c r="T36" s="6"/>
      <c r="U36" s="6"/>
      <c r="V36" s="6"/>
      <c r="W36" s="6"/>
      <c r="X36" s="6"/>
      <c r="Y36" s="14" t="e">
        <f t="shared" ca="1" si="0"/>
        <v>#REF!</v>
      </c>
      <c r="Z36" s="21"/>
      <c r="AA36" s="21"/>
    </row>
    <row r="37" spans="4:27" x14ac:dyDescent="0.25">
      <c r="I37" s="10"/>
      <c r="J37" s="10"/>
      <c r="Q37" s="15"/>
      <c r="T37" s="6"/>
      <c r="U37" s="6"/>
      <c r="V37" s="6"/>
      <c r="W37" s="6"/>
      <c r="X37" s="6"/>
      <c r="Y37" s="14" t="e">
        <f t="shared" ca="1" si="0"/>
        <v>#REF!</v>
      </c>
      <c r="Z37" s="21"/>
      <c r="AA37" s="21"/>
    </row>
    <row r="38" spans="4:27" x14ac:dyDescent="0.25">
      <c r="I38" s="10"/>
      <c r="J38" s="10"/>
      <c r="Q38" s="15"/>
      <c r="Y38" s="14" t="e">
        <f t="shared" ca="1" si="0"/>
        <v>#REF!</v>
      </c>
      <c r="Z38" s="21"/>
      <c r="AA38" s="21"/>
    </row>
    <row r="39" spans="4:27" x14ac:dyDescent="0.25">
      <c r="I39" s="10"/>
      <c r="J39" s="10"/>
      <c r="Y39" s="14" t="e">
        <f t="shared" ca="1" si="0"/>
        <v>#REF!</v>
      </c>
      <c r="Z39" s="21"/>
      <c r="AA39" s="21"/>
    </row>
    <row r="40" spans="4:27" x14ac:dyDescent="0.25">
      <c r="I40" s="10"/>
      <c r="J40" s="10"/>
      <c r="Y40" s="14" t="e">
        <f t="shared" ca="1" si="0"/>
        <v>#REF!</v>
      </c>
      <c r="Z40" s="21"/>
      <c r="AA40" s="21"/>
    </row>
    <row r="41" spans="4:27" x14ac:dyDescent="0.25">
      <c r="I41" s="10"/>
      <c r="J41" s="10"/>
      <c r="Y41" s="14" t="e">
        <f t="shared" ca="1" si="0"/>
        <v>#REF!</v>
      </c>
      <c r="Z41" s="21"/>
      <c r="AA41" s="21"/>
    </row>
    <row r="42" spans="4:27" x14ac:dyDescent="0.25">
      <c r="I42" s="10"/>
      <c r="J42" s="10"/>
      <c r="Y42" s="14" t="e">
        <f t="shared" ca="1" si="0"/>
        <v>#REF!</v>
      </c>
      <c r="Z42" s="21"/>
      <c r="AA42" s="21"/>
    </row>
    <row r="43" spans="4:27" x14ac:dyDescent="0.25">
      <c r="I43" s="10"/>
      <c r="J43" s="10"/>
      <c r="Y43" s="14" t="e">
        <f t="shared" ca="1" si="0"/>
        <v>#REF!</v>
      </c>
      <c r="Z43" s="21"/>
      <c r="AA43" s="21"/>
    </row>
    <row r="44" spans="4:27" x14ac:dyDescent="0.25">
      <c r="I44" s="10"/>
      <c r="J44" s="10"/>
      <c r="Y44" s="14" t="e">
        <f t="shared" ca="1" si="0"/>
        <v>#REF!</v>
      </c>
      <c r="Z44" s="21"/>
      <c r="AA44" s="21"/>
    </row>
    <row r="45" spans="4:27" x14ac:dyDescent="0.25">
      <c r="I45" s="10"/>
      <c r="J45" s="10"/>
      <c r="Y45" s="14" t="e">
        <f t="shared" ca="1" si="0"/>
        <v>#REF!</v>
      </c>
      <c r="Z45" s="21"/>
      <c r="AA45" s="21"/>
    </row>
    <row r="46" spans="4:27" x14ac:dyDescent="0.25">
      <c r="I46" s="10"/>
      <c r="J46" s="10"/>
      <c r="Y46" s="14" t="e">
        <f t="shared" ca="1" si="0"/>
        <v>#REF!</v>
      </c>
      <c r="Z46" s="21"/>
      <c r="AA46" s="21"/>
    </row>
    <row r="47" spans="4:27" x14ac:dyDescent="0.25">
      <c r="I47" s="10"/>
      <c r="J47" s="10"/>
      <c r="Y47" s="14" t="e">
        <f t="shared" ca="1" si="0"/>
        <v>#REF!</v>
      </c>
      <c r="Z47" s="21"/>
      <c r="AA47" s="21"/>
    </row>
    <row r="48" spans="4:27" x14ac:dyDescent="0.25">
      <c r="I48" s="10"/>
      <c r="J48" s="10"/>
      <c r="Y48" s="14" t="e">
        <f t="shared" ca="1" si="0"/>
        <v>#REF!</v>
      </c>
      <c r="Z48" s="21"/>
      <c r="AA48" s="21"/>
    </row>
    <row r="49" spans="9:27" x14ac:dyDescent="0.25">
      <c r="I49" s="10"/>
      <c r="J49" s="10"/>
      <c r="Y49" s="14" t="e">
        <f t="shared" ca="1" si="0"/>
        <v>#REF!</v>
      </c>
      <c r="Z49" s="21"/>
      <c r="AA49" s="21"/>
    </row>
    <row r="50" spans="9:27" x14ac:dyDescent="0.25">
      <c r="I50" s="10"/>
      <c r="J50" s="10"/>
      <c r="Y50" s="14" t="e">
        <f t="shared" ca="1" si="0"/>
        <v>#REF!</v>
      </c>
      <c r="Z50" s="21"/>
      <c r="AA50" s="21"/>
    </row>
    <row r="51" spans="9:27" x14ac:dyDescent="0.25">
      <c r="I51" s="10"/>
      <c r="J51" s="10"/>
      <c r="Y51" s="14" t="e">
        <f t="shared" ca="1" si="0"/>
        <v>#REF!</v>
      </c>
      <c r="Z51" s="21"/>
      <c r="AA51" s="21"/>
    </row>
    <row r="52" spans="9:27" x14ac:dyDescent="0.25">
      <c r="I52" s="10"/>
      <c r="J52" s="10"/>
      <c r="Y52" s="14" t="e">
        <f t="shared" ca="1" si="0"/>
        <v>#REF!</v>
      </c>
      <c r="Z52" s="21"/>
      <c r="AA52" s="21"/>
    </row>
    <row r="53" spans="9:27" x14ac:dyDescent="0.25">
      <c r="I53" s="10"/>
      <c r="J53" s="10"/>
      <c r="Y53" s="14" t="e">
        <f t="shared" ca="1" si="0"/>
        <v>#REF!</v>
      </c>
      <c r="Z53" s="21"/>
      <c r="AA53" s="21"/>
    </row>
    <row r="54" spans="9:27" x14ac:dyDescent="0.25">
      <c r="I54" s="10"/>
      <c r="J54" s="10"/>
      <c r="Y54" s="14" t="e">
        <f t="shared" ca="1" si="0"/>
        <v>#REF!</v>
      </c>
      <c r="Z54" s="21"/>
      <c r="AA54" s="21"/>
    </row>
    <row r="55" spans="9:27" x14ac:dyDescent="0.25">
      <c r="I55" s="10"/>
      <c r="J55" s="10"/>
      <c r="Y55" s="14" t="e">
        <f t="shared" ca="1" si="0"/>
        <v>#REF!</v>
      </c>
      <c r="Z55" s="21"/>
      <c r="AA55" s="21"/>
    </row>
    <row r="56" spans="9:27" x14ac:dyDescent="0.25">
      <c r="I56" s="10"/>
      <c r="J56" s="10"/>
      <c r="Y56" s="14" t="e">
        <f t="shared" ca="1" si="0"/>
        <v>#REF!</v>
      </c>
      <c r="Z56" s="21"/>
      <c r="AA56" s="21"/>
    </row>
    <row r="57" spans="9:27" x14ac:dyDescent="0.25">
      <c r="I57" s="10"/>
      <c r="J57" s="10"/>
      <c r="Y57" s="14" t="e">
        <f t="shared" ca="1" si="0"/>
        <v>#REF!</v>
      </c>
      <c r="Z57" s="21"/>
      <c r="AA57" s="21"/>
    </row>
    <row r="58" spans="9:27" x14ac:dyDescent="0.25">
      <c r="I58" s="10"/>
      <c r="J58" s="10"/>
      <c r="Y58" s="14" t="e">
        <f t="shared" ca="1" si="0"/>
        <v>#REF!</v>
      </c>
      <c r="Z58" s="21"/>
      <c r="AA58" s="21"/>
    </row>
    <row r="59" spans="9:27" x14ac:dyDescent="0.25">
      <c r="I59" s="10"/>
      <c r="J59" s="10"/>
      <c r="Y59" s="14" t="e">
        <f t="shared" ca="1" si="0"/>
        <v>#REF!</v>
      </c>
      <c r="Z59" s="21"/>
      <c r="AA59" s="21"/>
    </row>
    <row r="60" spans="9:27" x14ac:dyDescent="0.25">
      <c r="I60" s="10"/>
      <c r="J60" s="10"/>
      <c r="Y60" s="14" t="e">
        <f t="shared" ca="1" si="0"/>
        <v>#REF!</v>
      </c>
      <c r="Z60" s="21"/>
      <c r="AA60" s="21"/>
    </row>
    <row r="61" spans="9:27" x14ac:dyDescent="0.25">
      <c r="I61" s="10"/>
      <c r="J61" s="10"/>
      <c r="Y61" s="14" t="e">
        <f t="shared" ca="1" si="0"/>
        <v>#REF!</v>
      </c>
      <c r="Z61" s="21"/>
      <c r="AA61" s="21"/>
    </row>
    <row r="62" spans="9:27" x14ac:dyDescent="0.25">
      <c r="I62" s="10"/>
      <c r="J62" s="10"/>
      <c r="Y62" s="14" t="e">
        <f t="shared" ca="1" si="0"/>
        <v>#REF!</v>
      </c>
      <c r="Z62" s="21"/>
      <c r="AA62" s="21"/>
    </row>
    <row r="63" spans="9:27" x14ac:dyDescent="0.25">
      <c r="I63" s="10"/>
      <c r="J63" s="10"/>
      <c r="Y63" s="14" t="e">
        <f t="shared" ca="1" si="0"/>
        <v>#REF!</v>
      </c>
      <c r="Z63" s="21"/>
      <c r="AA63" s="21"/>
    </row>
    <row r="64" spans="9:27" x14ac:dyDescent="0.25">
      <c r="I64" s="10"/>
      <c r="J64" s="10"/>
      <c r="Y64" s="14" t="e">
        <f t="shared" ca="1" si="0"/>
        <v>#REF!</v>
      </c>
      <c r="Z64" s="21"/>
      <c r="AA64" s="21"/>
    </row>
    <row r="65" spans="9:27" x14ac:dyDescent="0.25">
      <c r="I65" s="10"/>
      <c r="J65" s="10"/>
      <c r="Y65" s="14" t="e">
        <f t="shared" ca="1" si="0"/>
        <v>#REF!</v>
      </c>
      <c r="Z65" s="21"/>
      <c r="AA65" s="21"/>
    </row>
    <row r="66" spans="9:27" x14ac:dyDescent="0.25">
      <c r="I66" s="10"/>
      <c r="J66" s="10"/>
      <c r="Y66" s="14" t="e">
        <f t="shared" ca="1" si="0"/>
        <v>#REF!</v>
      </c>
      <c r="Z66" s="21"/>
      <c r="AA66" s="21"/>
    </row>
    <row r="67" spans="9:27" x14ac:dyDescent="0.25">
      <c r="I67" s="10"/>
      <c r="J67" s="10"/>
      <c r="Y67" s="14" t="e">
        <f t="shared" ca="1" si="0"/>
        <v>#REF!</v>
      </c>
      <c r="Z67" s="21"/>
      <c r="AA67" s="21"/>
    </row>
    <row r="68" spans="9:27" x14ac:dyDescent="0.25">
      <c r="I68" s="10"/>
      <c r="J68" s="10"/>
      <c r="Y68" s="14" t="e">
        <f t="shared" ca="1" si="0"/>
        <v>#REF!</v>
      </c>
      <c r="Z68" s="21"/>
      <c r="AA68" s="21"/>
    </row>
    <row r="69" spans="9:27" x14ac:dyDescent="0.25">
      <c r="I69" s="10"/>
      <c r="J69" s="10"/>
      <c r="Y69" s="14" t="e">
        <f t="shared" ca="1" si="0"/>
        <v>#REF!</v>
      </c>
      <c r="Z69" s="21"/>
      <c r="AA69" s="21"/>
    </row>
    <row r="70" spans="9:27" x14ac:dyDescent="0.25">
      <c r="I70" s="10"/>
      <c r="J70" s="10"/>
      <c r="Y70" s="14" t="e">
        <f t="shared" ref="Y70:Y113" ca="1" si="1">SUBSTITUTE(H70&amp;" NAME has excelled "&amp;VLOOKUP("*"&amp;I70&amp;"*",INDIRECT(SUBSTITUTE(G70," ","")&amp;"_Comm",TRUE),1,0)&amp;".; "&amp;J70&amp;"; With further practice, NAME will have the opportunity to improve "&amp;VLOOKUP("*"&amp;K70&amp;"*",INDIRECT(SUBSTITUTE(G70," ","")&amp;"_Comm",TRUE),1,0)&amp;".; "&amp;L70&amp;"; NAME has also excelled "&amp;VLOOKUP("*"&amp;M70&amp;"*",INDIRECT(SUBSTITUTE(G70," ","")&amp;"_Comm",TRUE),1,0)&amp;".; "&amp;N70&amp;""&amp;"; "&amp;O70,"NAME",A70)</f>
        <v>#REF!</v>
      </c>
      <c r="Z70" s="21"/>
      <c r="AA70" s="21"/>
    </row>
    <row r="71" spans="9:27" x14ac:dyDescent="0.25">
      <c r="I71" s="10"/>
      <c r="J71" s="10"/>
      <c r="Y71" s="14" t="e">
        <f t="shared" ca="1" si="1"/>
        <v>#REF!</v>
      </c>
      <c r="Z71" s="21"/>
      <c r="AA71" s="21"/>
    </row>
    <row r="72" spans="9:27" x14ac:dyDescent="0.25">
      <c r="I72" s="10"/>
      <c r="J72" s="10"/>
      <c r="Y72" s="14" t="e">
        <f t="shared" ca="1" si="1"/>
        <v>#REF!</v>
      </c>
      <c r="Z72" s="21"/>
      <c r="AA72" s="21"/>
    </row>
    <row r="73" spans="9:27" x14ac:dyDescent="0.25">
      <c r="I73" s="10"/>
      <c r="J73" s="10"/>
      <c r="Y73" s="14" t="e">
        <f t="shared" ca="1" si="1"/>
        <v>#REF!</v>
      </c>
      <c r="Z73" s="21"/>
      <c r="AA73" s="21"/>
    </row>
    <row r="74" spans="9:27" x14ac:dyDescent="0.25">
      <c r="I74" s="10"/>
      <c r="J74" s="10"/>
      <c r="Y74" s="14" t="e">
        <f t="shared" ca="1" si="1"/>
        <v>#REF!</v>
      </c>
      <c r="Z74" s="21"/>
      <c r="AA74" s="21"/>
    </row>
    <row r="75" spans="9:27" x14ac:dyDescent="0.25">
      <c r="I75" s="10"/>
      <c r="J75" s="10"/>
      <c r="Y75" s="14" t="e">
        <f t="shared" ca="1" si="1"/>
        <v>#REF!</v>
      </c>
      <c r="Z75" s="21"/>
      <c r="AA75" s="21"/>
    </row>
    <row r="76" spans="9:27" x14ac:dyDescent="0.25">
      <c r="I76" s="10"/>
      <c r="J76" s="10"/>
      <c r="Y76" s="14" t="e">
        <f t="shared" ca="1" si="1"/>
        <v>#REF!</v>
      </c>
      <c r="Z76" s="21"/>
      <c r="AA76" s="21"/>
    </row>
    <row r="77" spans="9:27" x14ac:dyDescent="0.25">
      <c r="I77" s="10"/>
      <c r="J77" s="10"/>
      <c r="Y77" s="14" t="e">
        <f t="shared" ca="1" si="1"/>
        <v>#REF!</v>
      </c>
      <c r="Z77" s="21"/>
      <c r="AA77" s="21"/>
    </row>
    <row r="78" spans="9:27" x14ac:dyDescent="0.25">
      <c r="I78" s="10"/>
      <c r="J78" s="10"/>
      <c r="Y78" s="14" t="e">
        <f t="shared" ca="1" si="1"/>
        <v>#REF!</v>
      </c>
      <c r="Z78" s="21"/>
      <c r="AA78" s="21"/>
    </row>
    <row r="79" spans="9:27" x14ac:dyDescent="0.25">
      <c r="I79" s="10"/>
      <c r="J79" s="10"/>
      <c r="Y79" s="14" t="e">
        <f t="shared" ca="1" si="1"/>
        <v>#REF!</v>
      </c>
      <c r="Z79" s="21"/>
      <c r="AA79" s="21"/>
    </row>
    <row r="80" spans="9:27" x14ac:dyDescent="0.25">
      <c r="I80" s="10"/>
      <c r="J80" s="10"/>
      <c r="Y80" s="14" t="e">
        <f t="shared" ca="1" si="1"/>
        <v>#REF!</v>
      </c>
      <c r="Z80" s="21"/>
      <c r="AA80" s="21"/>
    </row>
    <row r="81" spans="9:27" x14ac:dyDescent="0.25">
      <c r="I81" s="10"/>
      <c r="J81" s="10"/>
      <c r="Y81" s="14" t="e">
        <f t="shared" ca="1" si="1"/>
        <v>#REF!</v>
      </c>
      <c r="Z81" s="21"/>
      <c r="AA81" s="21"/>
    </row>
    <row r="82" spans="9:27" x14ac:dyDescent="0.25">
      <c r="I82" s="10"/>
      <c r="J82" s="10"/>
      <c r="Y82" s="14" t="e">
        <f t="shared" ca="1" si="1"/>
        <v>#REF!</v>
      </c>
      <c r="Z82" s="21"/>
      <c r="AA82" s="21"/>
    </row>
    <row r="83" spans="9:27" x14ac:dyDescent="0.25">
      <c r="I83" s="10"/>
      <c r="J83" s="10"/>
      <c r="Y83" s="14" t="e">
        <f t="shared" ca="1" si="1"/>
        <v>#REF!</v>
      </c>
      <c r="Z83" s="21"/>
      <c r="AA83" s="21"/>
    </row>
    <row r="84" spans="9:27" x14ac:dyDescent="0.25">
      <c r="I84" s="10"/>
      <c r="J84" s="10"/>
      <c r="Y84" s="14" t="e">
        <f t="shared" ca="1" si="1"/>
        <v>#REF!</v>
      </c>
      <c r="Z84" s="21"/>
      <c r="AA84" s="21"/>
    </row>
    <row r="85" spans="9:27" x14ac:dyDescent="0.25">
      <c r="I85" s="10"/>
      <c r="J85" s="10"/>
      <c r="Y85" s="14" t="e">
        <f t="shared" ca="1" si="1"/>
        <v>#REF!</v>
      </c>
      <c r="Z85" s="21"/>
      <c r="AA85" s="21"/>
    </row>
    <row r="86" spans="9:27" x14ac:dyDescent="0.25">
      <c r="I86" s="10"/>
      <c r="J86" s="10"/>
      <c r="Y86" s="14" t="e">
        <f t="shared" ca="1" si="1"/>
        <v>#REF!</v>
      </c>
      <c r="Z86" s="21"/>
      <c r="AA86" s="21"/>
    </row>
    <row r="87" spans="9:27" x14ac:dyDescent="0.25">
      <c r="I87" s="10"/>
      <c r="J87" s="10"/>
      <c r="Y87" s="14" t="e">
        <f t="shared" ca="1" si="1"/>
        <v>#REF!</v>
      </c>
      <c r="Z87" s="21"/>
      <c r="AA87" s="21"/>
    </row>
    <row r="88" spans="9:27" x14ac:dyDescent="0.25">
      <c r="I88" s="10"/>
      <c r="J88" s="10"/>
      <c r="Y88" s="14" t="e">
        <f t="shared" ca="1" si="1"/>
        <v>#REF!</v>
      </c>
      <c r="Z88" s="21"/>
      <c r="AA88" s="21"/>
    </row>
    <row r="89" spans="9:27" x14ac:dyDescent="0.25">
      <c r="I89" s="10"/>
      <c r="J89" s="10"/>
      <c r="Y89" s="14" t="e">
        <f t="shared" ca="1" si="1"/>
        <v>#REF!</v>
      </c>
      <c r="Z89" s="21"/>
      <c r="AA89" s="21"/>
    </row>
    <row r="90" spans="9:27" x14ac:dyDescent="0.25">
      <c r="I90" s="10"/>
      <c r="J90" s="10"/>
      <c r="Y90" s="14" t="e">
        <f t="shared" ca="1" si="1"/>
        <v>#REF!</v>
      </c>
      <c r="Z90" s="21"/>
      <c r="AA90" s="21"/>
    </row>
    <row r="91" spans="9:27" x14ac:dyDescent="0.25">
      <c r="I91" s="10"/>
      <c r="J91" s="10"/>
      <c r="Y91" s="14" t="e">
        <f t="shared" ca="1" si="1"/>
        <v>#REF!</v>
      </c>
      <c r="Z91" s="21"/>
      <c r="AA91" s="21"/>
    </row>
    <row r="92" spans="9:27" x14ac:dyDescent="0.25">
      <c r="I92" s="10"/>
      <c r="J92" s="10"/>
      <c r="Y92" s="14" t="e">
        <f t="shared" ca="1" si="1"/>
        <v>#REF!</v>
      </c>
      <c r="Z92" s="21"/>
      <c r="AA92" s="21"/>
    </row>
    <row r="93" spans="9:27" x14ac:dyDescent="0.25">
      <c r="I93" s="10"/>
      <c r="J93" s="10"/>
      <c r="Y93" s="14" t="e">
        <f t="shared" ca="1" si="1"/>
        <v>#REF!</v>
      </c>
      <c r="Z93" s="21"/>
      <c r="AA93" s="21"/>
    </row>
    <row r="94" spans="9:27" x14ac:dyDescent="0.25">
      <c r="I94" s="10"/>
      <c r="J94" s="10"/>
      <c r="Y94" s="14" t="e">
        <f t="shared" ca="1" si="1"/>
        <v>#REF!</v>
      </c>
      <c r="Z94" s="21"/>
      <c r="AA94" s="21"/>
    </row>
    <row r="95" spans="9:27" x14ac:dyDescent="0.25">
      <c r="I95" s="10"/>
      <c r="J95" s="10"/>
      <c r="Y95" s="14" t="e">
        <f t="shared" ca="1" si="1"/>
        <v>#REF!</v>
      </c>
      <c r="Z95" s="21"/>
      <c r="AA95" s="21"/>
    </row>
    <row r="96" spans="9:27" x14ac:dyDescent="0.25">
      <c r="I96" s="10"/>
      <c r="J96" s="10"/>
      <c r="Y96" s="14" t="e">
        <f t="shared" ca="1" si="1"/>
        <v>#REF!</v>
      </c>
      <c r="Z96" s="21"/>
      <c r="AA96" s="21"/>
    </row>
    <row r="97" spans="9:27" x14ac:dyDescent="0.25">
      <c r="I97" s="10"/>
      <c r="J97" s="10"/>
      <c r="Y97" s="14" t="e">
        <f t="shared" ca="1" si="1"/>
        <v>#REF!</v>
      </c>
      <c r="Z97" s="21"/>
      <c r="AA97" s="21"/>
    </row>
    <row r="98" spans="9:27" x14ac:dyDescent="0.25">
      <c r="I98" s="10"/>
      <c r="J98" s="10"/>
      <c r="Y98" s="14" t="e">
        <f t="shared" ca="1" si="1"/>
        <v>#REF!</v>
      </c>
      <c r="Z98" s="21"/>
      <c r="AA98" s="21"/>
    </row>
    <row r="99" spans="9:27" x14ac:dyDescent="0.25">
      <c r="I99" s="10"/>
      <c r="J99" s="10"/>
      <c r="Y99" s="14" t="e">
        <f t="shared" ca="1" si="1"/>
        <v>#REF!</v>
      </c>
      <c r="Z99" s="21"/>
      <c r="AA99" s="21"/>
    </row>
    <row r="100" spans="9:27" x14ac:dyDescent="0.25">
      <c r="I100" s="10"/>
      <c r="J100" s="10"/>
      <c r="Y100" s="14" t="e">
        <f t="shared" ca="1" si="1"/>
        <v>#REF!</v>
      </c>
      <c r="Z100" s="21"/>
      <c r="AA100" s="21"/>
    </row>
    <row r="101" spans="9:27" x14ac:dyDescent="0.25">
      <c r="I101" s="10"/>
      <c r="J101" s="10"/>
      <c r="Y101" s="14" t="e">
        <f t="shared" ca="1" si="1"/>
        <v>#REF!</v>
      </c>
      <c r="Z101" s="21"/>
      <c r="AA101" s="21"/>
    </row>
    <row r="102" spans="9:27" x14ac:dyDescent="0.25">
      <c r="I102" s="10"/>
      <c r="J102" s="10"/>
      <c r="Y102" s="14" t="e">
        <f t="shared" ca="1" si="1"/>
        <v>#REF!</v>
      </c>
      <c r="Z102" s="21"/>
      <c r="AA102" s="21"/>
    </row>
    <row r="103" spans="9:27" x14ac:dyDescent="0.25">
      <c r="I103" s="10"/>
      <c r="J103" s="10"/>
      <c r="Y103" s="14" t="e">
        <f t="shared" ca="1" si="1"/>
        <v>#REF!</v>
      </c>
      <c r="Z103" s="21"/>
      <c r="AA103" s="21"/>
    </row>
    <row r="104" spans="9:27" x14ac:dyDescent="0.25">
      <c r="I104" s="10"/>
      <c r="J104" s="10"/>
      <c r="Y104" s="14" t="e">
        <f t="shared" ca="1" si="1"/>
        <v>#REF!</v>
      </c>
      <c r="Z104" s="21"/>
      <c r="AA104" s="21"/>
    </row>
    <row r="105" spans="9:27" x14ac:dyDescent="0.25">
      <c r="I105" s="10"/>
      <c r="J105" s="10"/>
      <c r="Y105" s="14" t="e">
        <f t="shared" ca="1" si="1"/>
        <v>#REF!</v>
      </c>
      <c r="Z105" s="21"/>
      <c r="AA105" s="21"/>
    </row>
    <row r="106" spans="9:27" x14ac:dyDescent="0.25">
      <c r="I106" s="10"/>
      <c r="J106" s="10"/>
      <c r="Y106" s="14" t="e">
        <f t="shared" ca="1" si="1"/>
        <v>#REF!</v>
      </c>
      <c r="Z106" s="21"/>
      <c r="AA106" s="21"/>
    </row>
    <row r="107" spans="9:27" x14ac:dyDescent="0.25">
      <c r="I107" s="10"/>
      <c r="J107" s="10"/>
      <c r="Y107" s="14" t="e">
        <f t="shared" ca="1" si="1"/>
        <v>#REF!</v>
      </c>
      <c r="Z107" s="21"/>
      <c r="AA107" s="21"/>
    </row>
    <row r="108" spans="9:27" x14ac:dyDescent="0.25">
      <c r="I108" s="10"/>
      <c r="J108" s="10"/>
      <c r="Y108" s="14" t="e">
        <f t="shared" ca="1" si="1"/>
        <v>#REF!</v>
      </c>
      <c r="Z108" s="21"/>
      <c r="AA108" s="21"/>
    </row>
    <row r="109" spans="9:27" x14ac:dyDescent="0.25">
      <c r="I109" s="10"/>
      <c r="J109" s="10"/>
      <c r="Y109" s="14" t="e">
        <f t="shared" ca="1" si="1"/>
        <v>#REF!</v>
      </c>
      <c r="Z109" s="21"/>
      <c r="AA109" s="21"/>
    </row>
    <row r="110" spans="9:27" x14ac:dyDescent="0.25">
      <c r="I110" s="10"/>
      <c r="J110" s="10"/>
      <c r="Y110" s="14" t="e">
        <f t="shared" ca="1" si="1"/>
        <v>#REF!</v>
      </c>
      <c r="Z110" s="21"/>
      <c r="AA110" s="21"/>
    </row>
    <row r="111" spans="9:27" x14ac:dyDescent="0.25">
      <c r="I111" s="10"/>
      <c r="J111" s="10"/>
      <c r="Y111" s="14" t="e">
        <f t="shared" ca="1" si="1"/>
        <v>#REF!</v>
      </c>
      <c r="Z111" s="21"/>
      <c r="AA111" s="21"/>
    </row>
    <row r="112" spans="9:27" x14ac:dyDescent="0.25">
      <c r="I112" s="10"/>
      <c r="J112" s="10"/>
      <c r="Y112" s="14" t="e">
        <f t="shared" ca="1" si="1"/>
        <v>#REF!</v>
      </c>
      <c r="Z112" s="21"/>
      <c r="AA112" s="21"/>
    </row>
    <row r="113" spans="9:27" x14ac:dyDescent="0.25">
      <c r="I113" s="10"/>
      <c r="J113" s="10"/>
      <c r="Y113" s="14" t="e">
        <f t="shared" ca="1" si="1"/>
        <v>#REF!</v>
      </c>
      <c r="Z113" s="21"/>
      <c r="AA113" s="21"/>
    </row>
  </sheetData>
  <dataConsolidate function="product"/>
  <mergeCells count="9">
    <mergeCell ref="Z1:AA113"/>
    <mergeCell ref="G3:H3"/>
    <mergeCell ref="R5:Y5"/>
    <mergeCell ref="G1:H1"/>
    <mergeCell ref="A1:F4"/>
    <mergeCell ref="N1:Y1"/>
    <mergeCell ref="G2:Y2"/>
    <mergeCell ref="G4:Y4"/>
    <mergeCell ref="N3:Y3"/>
  </mergeCells>
  <phoneticPr fontId="6" type="noConversion"/>
  <dataValidations count="13">
    <dataValidation type="list" allowBlank="1" showInputMessage="1" showErrorMessage="1" sqref="D6:D113" xr:uid="{3A7BD3AF-24D5-4235-A85A-DB3B99A0D14E}">
      <formula1>Days</formula1>
    </dataValidation>
    <dataValidation type="list" allowBlank="1" showInputMessage="1" showErrorMessage="1" sqref="E6:E113" xr:uid="{59794AB3-5D4D-4DFB-A9B6-1529C9AA162C}">
      <formula1>CurrentSession</formula1>
    </dataValidation>
    <dataValidation type="list" allowBlank="1" showInputMessage="1" showErrorMessage="1" sqref="F6:F113" xr:uid="{B3462951-3AEC-4151-B330-3F7BE1CA9627}">
      <formula1>Year</formula1>
    </dataValidation>
    <dataValidation type="list" allowBlank="1" showInputMessage="1" showErrorMessage="1" sqref="G6:G113" xr:uid="{A2769F84-9173-4705-BACA-A9B210849E3B}">
      <formula1>Level</formula1>
    </dataValidation>
    <dataValidation type="list" allowBlank="1" showInputMessage="1" showErrorMessage="1" sqref="H6:H113" xr:uid="{22FC91BD-2231-4A18-A2E6-B2C8C3CE588E}">
      <formula1>Opener</formula1>
    </dataValidation>
    <dataValidation type="list" allowBlank="1" showInputMessage="1" showErrorMessage="1" sqref="I6:I113" xr:uid="{95F97224-FA7A-4718-9BB9-1DB25BA64064}">
      <formula1>INDIRECT(SUBSTITUTE(G6, " ", ""))</formula1>
    </dataValidation>
    <dataValidation type="list" allowBlank="1" showInputMessage="1" showErrorMessage="1" sqref="K6:K113" xr:uid="{B1B96536-85B0-452E-B2D9-559F5195F232}">
      <formula1>INDIRECT(SUBSTITUTE(G6, " ", ""))</formula1>
    </dataValidation>
    <dataValidation type="list" allowBlank="1" showInputMessage="1" showErrorMessage="1" sqref="M6:M113" xr:uid="{CFE02CA2-9827-4094-8E51-D6C13D858946}">
      <formula1>INDIRECT(SUBSTITUTE(G6, " ", ""))</formula1>
    </dataValidation>
    <dataValidation type="list" allowBlank="1" showInputMessage="1" showErrorMessage="1" sqref="O6:O113" xr:uid="{9E79C836-B5BD-455B-8E1F-FDFE42A15D38}">
      <formula1>Closer</formula1>
    </dataValidation>
    <dataValidation type="list" allowBlank="1" showInputMessage="1" showErrorMessage="1" sqref="P6:P113" xr:uid="{513CCC65-B778-4CE7-B3AC-0BDF519B4D5A}">
      <formula1>NextLevelSession</formula1>
    </dataValidation>
    <dataValidation type="list" allowBlank="1" showInputMessage="1" showErrorMessage="1" sqref="J6:J113" xr:uid="{6D35D269-E4F7-4998-A9B7-56A06F26D6B9}">
      <formula1>INDIRECT( SUBSTITUTE(G6," ","") &amp; "_" &amp; SUBSTITUTE(I6," ",""))</formula1>
    </dataValidation>
    <dataValidation type="list" allowBlank="1" showInputMessage="1" showErrorMessage="1" sqref="L6:L113" xr:uid="{64454030-7CBF-4618-8087-07381E585620}">
      <formula1>INDIRECT( SUBSTITUTE(G6," ","") &amp; "_" &amp; SUBSTITUTE(K6," ",""))</formula1>
    </dataValidation>
    <dataValidation type="list" allowBlank="1" showInputMessage="1" showErrorMessage="1" sqref="N6:N113" xr:uid="{992738E5-CB16-4FB0-B00B-6E081FCD99B0}">
      <formula1>INDIRECT( SUBSTITUTE(G6," ","") &amp; "_" &amp; SUBSTITUTE(M6,"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A72C0-6BAE-42AD-BE3F-8E2F3A0190C7}">
  <sheetPr codeName="Sheet2"/>
  <dimension ref="A1:O17"/>
  <sheetViews>
    <sheetView workbookViewId="0">
      <selection activeCell="E31" sqref="E31"/>
    </sheetView>
  </sheetViews>
  <sheetFormatPr defaultRowHeight="15" x14ac:dyDescent="0.25"/>
  <cols>
    <col min="1" max="1" width="11.42578125" bestFit="1" customWidth="1"/>
    <col min="2" max="2" width="16.28515625" customWidth="1"/>
    <col min="4" max="4" width="16.140625" customWidth="1"/>
    <col min="5" max="5" width="43.140625" customWidth="1"/>
    <col min="6" max="6" width="52" customWidth="1"/>
    <col min="7" max="7" width="27.140625" customWidth="1"/>
    <col min="8" max="8" width="24.28515625" customWidth="1"/>
    <col min="9" max="9" width="44.28515625" customWidth="1"/>
    <col min="10" max="10" width="26.7109375" customWidth="1"/>
    <col min="11" max="11" width="39.140625" customWidth="1"/>
    <col min="12" max="12" width="19.85546875" customWidth="1"/>
    <col min="14" max="14" width="26.5703125" customWidth="1"/>
    <col min="15" max="15" width="30.85546875" customWidth="1"/>
  </cols>
  <sheetData>
    <row r="1" spans="1:15" ht="15.75" thickBot="1" x14ac:dyDescent="0.3">
      <c r="A1" s="1" t="s">
        <v>22</v>
      </c>
      <c r="B1" s="1" t="s">
        <v>4</v>
      </c>
      <c r="C1" s="1" t="s">
        <v>5</v>
      </c>
      <c r="D1" s="1" t="s">
        <v>28</v>
      </c>
      <c r="E1" s="8" t="s">
        <v>31</v>
      </c>
      <c r="F1" s="9" t="s">
        <v>34</v>
      </c>
      <c r="G1" s="3" t="s">
        <v>13</v>
      </c>
      <c r="H1" s="2"/>
      <c r="I1" s="2"/>
      <c r="J1" s="2"/>
      <c r="K1" s="2"/>
      <c r="L1" s="2"/>
      <c r="M1" s="2"/>
      <c r="N1" s="2"/>
      <c r="O1" s="2"/>
    </row>
    <row r="2" spans="1:15" ht="27" thickBot="1" x14ac:dyDescent="0.3">
      <c r="A2" t="s">
        <v>14</v>
      </c>
      <c r="B2" t="s">
        <v>23</v>
      </c>
      <c r="C2">
        <v>2022</v>
      </c>
      <c r="D2" s="2" t="s">
        <v>69</v>
      </c>
      <c r="E2" t="s">
        <v>35</v>
      </c>
      <c r="F2" s="2" t="s">
        <v>39</v>
      </c>
      <c r="G2" s="2" t="s">
        <v>74</v>
      </c>
      <c r="H2" s="3"/>
      <c r="I2" s="3"/>
      <c r="J2" s="3"/>
      <c r="K2" s="3"/>
      <c r="L2" s="3"/>
      <c r="M2" s="3"/>
      <c r="N2" s="3"/>
      <c r="O2" s="3"/>
    </row>
    <row r="3" spans="1:15" ht="27" thickBot="1" x14ac:dyDescent="0.3">
      <c r="A3" t="s">
        <v>15</v>
      </c>
      <c r="B3" t="s">
        <v>24</v>
      </c>
      <c r="C3">
        <v>2023</v>
      </c>
      <c r="D3" s="2" t="s">
        <v>70</v>
      </c>
      <c r="E3" t="s">
        <v>36</v>
      </c>
      <c r="F3" s="2" t="s">
        <v>38</v>
      </c>
      <c r="G3" s="2" t="s">
        <v>75</v>
      </c>
      <c r="H3" s="2"/>
      <c r="I3" s="2"/>
      <c r="J3" s="2"/>
      <c r="K3" s="2"/>
      <c r="L3" s="2"/>
      <c r="M3" s="2"/>
      <c r="N3" s="2"/>
      <c r="O3" s="2"/>
    </row>
    <row r="4" spans="1:15" ht="27" thickBot="1" x14ac:dyDescent="0.3">
      <c r="A4" t="s">
        <v>16</v>
      </c>
      <c r="B4" t="s">
        <v>25</v>
      </c>
      <c r="C4">
        <v>2024</v>
      </c>
      <c r="D4" s="2" t="s">
        <v>71</v>
      </c>
      <c r="E4" t="s">
        <v>37</v>
      </c>
      <c r="F4" s="5" t="s">
        <v>40</v>
      </c>
      <c r="G4" s="2" t="s">
        <v>76</v>
      </c>
      <c r="H4" s="2"/>
      <c r="I4" s="2"/>
      <c r="J4" s="2"/>
      <c r="K4" s="2"/>
      <c r="L4" s="2"/>
      <c r="M4" s="2"/>
      <c r="N4" s="2"/>
      <c r="O4" s="2"/>
    </row>
    <row r="5" spans="1:15" ht="27" thickBot="1" x14ac:dyDescent="0.3">
      <c r="A5" t="s">
        <v>17</v>
      </c>
      <c r="B5" t="s">
        <v>26</v>
      </c>
      <c r="C5">
        <v>2025</v>
      </c>
      <c r="D5" s="2" t="s">
        <v>72</v>
      </c>
      <c r="F5" s="2"/>
      <c r="G5" s="2" t="s">
        <v>77</v>
      </c>
      <c r="H5" s="2"/>
      <c r="I5" s="2"/>
      <c r="J5" s="2"/>
      <c r="K5" s="2"/>
      <c r="L5" s="2"/>
      <c r="M5" s="2"/>
      <c r="N5" s="2"/>
      <c r="O5" s="2"/>
    </row>
    <row r="6" spans="1:15" ht="27" thickBot="1" x14ac:dyDescent="0.3">
      <c r="A6" t="s">
        <v>18</v>
      </c>
      <c r="B6" t="s">
        <v>27</v>
      </c>
      <c r="D6" s="2" t="s">
        <v>73</v>
      </c>
      <c r="F6" s="2"/>
      <c r="G6" s="2" t="s">
        <v>78</v>
      </c>
      <c r="H6" s="2"/>
      <c r="I6" s="2"/>
      <c r="J6" s="2"/>
      <c r="K6" s="2"/>
      <c r="L6" s="2"/>
      <c r="M6" s="2"/>
      <c r="N6" s="2"/>
      <c r="O6" s="2"/>
    </row>
    <row r="7" spans="1:15" ht="15.75" thickBot="1" x14ac:dyDescent="0.3">
      <c r="A7" t="s">
        <v>19</v>
      </c>
      <c r="D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15.75" thickBot="1" x14ac:dyDescent="0.3">
      <c r="A8" t="s">
        <v>20</v>
      </c>
      <c r="D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ht="15.75" thickBot="1" x14ac:dyDescent="0.3">
      <c r="A9" t="s">
        <v>21</v>
      </c>
      <c r="D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15.75" thickBot="1" x14ac:dyDescent="0.3">
      <c r="D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ht="15.75" thickBot="1" x14ac:dyDescent="0.3">
      <c r="D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5.75" thickBot="1" x14ac:dyDescent="0.3"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15.75" thickBot="1" x14ac:dyDescent="0.3"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ht="15.75" thickBot="1" x14ac:dyDescent="0.3"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ht="15.75" thickBot="1" x14ac:dyDescent="0.3"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ht="15.75" thickBot="1" x14ac:dyDescent="0.3"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6:15" ht="15.75" thickBot="1" x14ac:dyDescent="0.3">
      <c r="F17" s="2"/>
      <c r="G17" s="2"/>
      <c r="H17" s="2"/>
      <c r="I17" s="2"/>
      <c r="J17" s="2"/>
      <c r="K17" s="2"/>
      <c r="L17" s="2"/>
      <c r="M17" s="2"/>
      <c r="N17" s="2"/>
      <c r="O17" s="2"/>
    </row>
  </sheetData>
  <sheetProtection algorithmName="SHA-512" hashValue="hgP7I05GSoXjHnC62aWO4fp0bI+TIJtGZ2c76xsJ/2TrW7oX2fK99+dMVQ+piW4Z6shY9foRcqQtjCg1LdiJag==" saltValue="QPwYTSQwtfeB7ieQulwQ0g==" spinCount="100000" sheet="1" objects="1" scenarios="1"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80D3-A0EB-408A-9E7F-9517DF2F3D19}">
  <sheetPr codeName="Sheet3"/>
  <dimension ref="A1:N16"/>
  <sheetViews>
    <sheetView zoomScale="91" zoomScaleNormal="70" workbookViewId="0">
      <selection activeCell="A15" sqref="A15"/>
    </sheetView>
  </sheetViews>
  <sheetFormatPr defaultRowHeight="15" x14ac:dyDescent="0.25"/>
  <cols>
    <col min="1" max="1" width="37.7109375" bestFit="1" customWidth="1"/>
    <col min="2" max="2" width="34.5703125" customWidth="1"/>
    <col min="3" max="3" width="46.7109375" customWidth="1"/>
    <col min="4" max="4" width="41.85546875" customWidth="1"/>
    <col min="5" max="5" width="37.140625" customWidth="1"/>
    <col min="6" max="6" width="39.85546875" customWidth="1"/>
    <col min="7" max="7" width="35.7109375" customWidth="1"/>
    <col min="8" max="8" width="37.28515625" customWidth="1"/>
    <col min="9" max="9" width="28.85546875" customWidth="1"/>
    <col min="10" max="10" width="45.140625" customWidth="1"/>
    <col min="12" max="12" width="17.140625" customWidth="1"/>
  </cols>
  <sheetData>
    <row r="1" spans="1:14" ht="15.75" thickBot="1" x14ac:dyDescent="0.3">
      <c r="A1" s="4" t="s">
        <v>69</v>
      </c>
      <c r="B1" s="4" t="s">
        <v>70</v>
      </c>
      <c r="C1" s="4" t="s">
        <v>71</v>
      </c>
      <c r="D1" s="4" t="s">
        <v>72</v>
      </c>
      <c r="E1" s="4" t="s">
        <v>73</v>
      </c>
      <c r="F1" s="4"/>
      <c r="G1" s="4"/>
      <c r="H1" s="4"/>
      <c r="I1" s="4"/>
      <c r="J1" s="4"/>
      <c r="K1" s="12"/>
      <c r="L1" s="12"/>
      <c r="M1" s="12"/>
      <c r="N1" s="12"/>
    </row>
    <row r="2" spans="1:14" ht="15.75" thickBot="1" x14ac:dyDescent="0.3">
      <c r="A2" t="s">
        <v>247</v>
      </c>
      <c r="B2" t="s">
        <v>247</v>
      </c>
      <c r="C2" t="s">
        <v>247</v>
      </c>
      <c r="D2" t="s">
        <v>330</v>
      </c>
      <c r="E2" s="5" t="s">
        <v>344</v>
      </c>
      <c r="F2" s="5"/>
      <c r="G2" s="5"/>
      <c r="H2" s="5"/>
      <c r="I2" s="5"/>
      <c r="J2" s="5"/>
    </row>
    <row r="3" spans="1:14" ht="15.75" thickBot="1" x14ac:dyDescent="0.3">
      <c r="A3" t="s">
        <v>232</v>
      </c>
      <c r="B3" s="5" t="s">
        <v>62</v>
      </c>
      <c r="C3" s="5" t="s">
        <v>62</v>
      </c>
      <c r="D3" s="5" t="s">
        <v>62</v>
      </c>
      <c r="E3" s="5" t="s">
        <v>62</v>
      </c>
      <c r="F3" s="5"/>
      <c r="G3" s="5"/>
      <c r="H3" s="5"/>
      <c r="I3" s="5"/>
      <c r="J3" s="5"/>
    </row>
    <row r="4" spans="1:14" ht="15.75" thickBot="1" x14ac:dyDescent="0.3">
      <c r="A4" t="s">
        <v>63</v>
      </c>
      <c r="B4" s="5" t="s">
        <v>251</v>
      </c>
      <c r="C4" s="5" t="s">
        <v>266</v>
      </c>
      <c r="D4" s="5" t="s">
        <v>67</v>
      </c>
      <c r="E4" s="5" t="s">
        <v>68</v>
      </c>
      <c r="F4" s="5"/>
      <c r="G4" s="5"/>
      <c r="H4" s="5"/>
      <c r="I4" s="5"/>
      <c r="J4" s="5"/>
    </row>
    <row r="5" spans="1:14" ht="15.75" thickBot="1" x14ac:dyDescent="0.3">
      <c r="A5" t="s">
        <v>62</v>
      </c>
      <c r="B5" s="5" t="s">
        <v>63</v>
      </c>
      <c r="C5" s="5" t="s">
        <v>137</v>
      </c>
      <c r="D5" s="5" t="s">
        <v>277</v>
      </c>
      <c r="E5" s="5" t="s">
        <v>67</v>
      </c>
      <c r="F5" s="5"/>
      <c r="G5" s="5"/>
      <c r="H5" s="5"/>
      <c r="I5" s="5"/>
      <c r="J5" s="5"/>
    </row>
    <row r="6" spans="1:14" ht="15.75" thickBot="1" x14ac:dyDescent="0.3">
      <c r="A6" t="s">
        <v>81</v>
      </c>
      <c r="B6" s="5" t="s">
        <v>64</v>
      </c>
      <c r="C6" s="5" t="s">
        <v>267</v>
      </c>
      <c r="D6" s="5" t="s">
        <v>63</v>
      </c>
      <c r="E6" s="5" t="s">
        <v>394</v>
      </c>
      <c r="F6" s="5"/>
      <c r="G6" s="5"/>
      <c r="H6" s="5"/>
      <c r="I6" s="5"/>
      <c r="J6" s="5"/>
    </row>
    <row r="7" spans="1:14" ht="15.75" thickBot="1" x14ac:dyDescent="0.3">
      <c r="A7" t="s">
        <v>237</v>
      </c>
      <c r="B7" s="5" t="s">
        <v>60</v>
      </c>
      <c r="C7" s="5" t="s">
        <v>138</v>
      </c>
      <c r="D7" s="5" t="s">
        <v>66</v>
      </c>
      <c r="E7" s="5" t="s">
        <v>345</v>
      </c>
      <c r="F7" s="5"/>
      <c r="G7" s="5"/>
      <c r="H7" s="5"/>
      <c r="I7" s="5"/>
      <c r="J7" s="5"/>
    </row>
    <row r="8" spans="1:14" ht="15.75" thickBot="1" x14ac:dyDescent="0.3">
      <c r="A8" t="s">
        <v>238</v>
      </c>
      <c r="B8" s="5" t="s">
        <v>66</v>
      </c>
      <c r="C8" s="5" t="s">
        <v>139</v>
      </c>
      <c r="D8" s="5" t="s">
        <v>125</v>
      </c>
      <c r="E8" s="5" t="s">
        <v>346</v>
      </c>
      <c r="F8" s="5"/>
      <c r="G8" s="5"/>
      <c r="H8" s="5"/>
      <c r="I8" s="5"/>
      <c r="J8" s="5"/>
    </row>
    <row r="9" spans="1:14" ht="15.75" thickBot="1" x14ac:dyDescent="0.3">
      <c r="A9" t="s">
        <v>239</v>
      </c>
      <c r="B9" s="5" t="s">
        <v>125</v>
      </c>
      <c r="C9" s="5" t="s">
        <v>63</v>
      </c>
      <c r="D9" s="5" t="s">
        <v>278</v>
      </c>
      <c r="E9" s="5" t="s">
        <v>66</v>
      </c>
      <c r="F9" s="5"/>
      <c r="G9" s="5"/>
      <c r="H9" s="5"/>
      <c r="I9" s="5"/>
      <c r="J9" s="5"/>
    </row>
    <row r="10" spans="1:14" ht="15.75" thickBot="1" x14ac:dyDescent="0.3">
      <c r="A10" t="s">
        <v>240</v>
      </c>
      <c r="B10" s="5" t="s">
        <v>140</v>
      </c>
      <c r="C10" s="5" t="s">
        <v>66</v>
      </c>
      <c r="D10" s="5" t="s">
        <v>61</v>
      </c>
      <c r="E10" s="5" t="s">
        <v>125</v>
      </c>
      <c r="F10" s="5"/>
      <c r="G10" s="5"/>
      <c r="H10" s="5"/>
      <c r="I10" s="5"/>
      <c r="J10" s="5"/>
    </row>
    <row r="11" spans="1:14" ht="15.75" thickBot="1" x14ac:dyDescent="0.3">
      <c r="A11" t="s">
        <v>241</v>
      </c>
      <c r="B11" s="5" t="s">
        <v>61</v>
      </c>
      <c r="C11" s="5" t="s">
        <v>125</v>
      </c>
      <c r="D11" s="5" t="s">
        <v>279</v>
      </c>
      <c r="E11" s="5" t="s">
        <v>278</v>
      </c>
      <c r="F11" s="5"/>
      <c r="G11" s="5"/>
      <c r="H11" s="5"/>
      <c r="I11" s="5"/>
      <c r="J11" s="5"/>
    </row>
    <row r="12" spans="1:14" ht="15.75" thickBot="1" x14ac:dyDescent="0.3">
      <c r="A12" s="5"/>
      <c r="B12" s="5"/>
      <c r="C12" s="5" t="s">
        <v>141</v>
      </c>
      <c r="D12" s="5"/>
      <c r="E12" s="5" t="s">
        <v>61</v>
      </c>
      <c r="F12" s="5"/>
      <c r="G12" s="5"/>
      <c r="H12" s="5"/>
      <c r="I12" s="5"/>
    </row>
    <row r="13" spans="1:14" ht="15.75" thickBot="1" x14ac:dyDescent="0.3">
      <c r="A13" s="5"/>
      <c r="C13" s="5" t="s">
        <v>263</v>
      </c>
      <c r="D13" s="5"/>
      <c r="E13" s="5" t="s">
        <v>279</v>
      </c>
      <c r="H13" s="5"/>
    </row>
    <row r="14" spans="1:14" ht="15.75" thickBot="1" x14ac:dyDescent="0.3">
      <c r="A14" s="5"/>
      <c r="C14" s="5" t="s">
        <v>61</v>
      </c>
    </row>
    <row r="16" spans="1:14" x14ac:dyDescent="0.25">
      <c r="A16" s="16"/>
    </row>
  </sheetData>
  <sheetProtection algorithmName="SHA-512" hashValue="hNwny9KwulHBJeT2dVme5CvXFFnL5uDHP9JsCOeeQnDyIc7Dx/P5UmgcR5lLXt/bI4ZBbqp9Nunryp6NqbNsKA==" saltValue="U0Fn2MRCGQkWcDmQqj8sUQ==" spinCount="100000" sheet="1" objects="1" scenarios="1" selectLockedCells="1" selectUnlockedCells="1"/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8419D-41D9-4208-8E6C-09050EB990ED}">
  <sheetPr codeName="Sheet5"/>
  <dimension ref="A1:N37"/>
  <sheetViews>
    <sheetView zoomScale="91" zoomScaleNormal="70" workbookViewId="0">
      <selection activeCell="A14" sqref="A14"/>
    </sheetView>
  </sheetViews>
  <sheetFormatPr defaultRowHeight="15" x14ac:dyDescent="0.25"/>
  <cols>
    <col min="1" max="1" width="37.7109375" bestFit="1" customWidth="1"/>
    <col min="2" max="2" width="34.5703125" customWidth="1"/>
    <col min="3" max="3" width="46.7109375" customWidth="1"/>
    <col min="4" max="4" width="41.85546875" customWidth="1"/>
    <col min="5" max="5" width="37.140625" customWidth="1"/>
    <col min="6" max="6" width="39.85546875" customWidth="1"/>
    <col min="7" max="7" width="35.7109375" customWidth="1"/>
    <col min="8" max="8" width="37.28515625" customWidth="1"/>
    <col min="9" max="9" width="28.85546875" customWidth="1"/>
    <col min="10" max="10" width="45.140625" customWidth="1"/>
    <col min="12" max="12" width="17.140625" customWidth="1"/>
  </cols>
  <sheetData>
    <row r="1" spans="1:14" ht="15.75" thickBot="1" x14ac:dyDescent="0.3">
      <c r="A1" s="4" t="s">
        <v>69</v>
      </c>
      <c r="B1" s="4" t="s">
        <v>70</v>
      </c>
      <c r="C1" s="4" t="s">
        <v>71</v>
      </c>
      <c r="D1" s="4" t="s">
        <v>72</v>
      </c>
      <c r="E1" s="4" t="s">
        <v>73</v>
      </c>
      <c r="F1" s="4"/>
      <c r="G1" s="4"/>
      <c r="H1" s="4"/>
      <c r="I1" s="4"/>
      <c r="J1" s="4"/>
      <c r="K1" s="12"/>
      <c r="L1" s="12"/>
      <c r="M1" s="12"/>
      <c r="N1" s="12"/>
    </row>
    <row r="2" spans="1:14" ht="15.75" thickBot="1" x14ac:dyDescent="0.3">
      <c r="A2" t="s">
        <v>246</v>
      </c>
      <c r="B2" t="s">
        <v>249</v>
      </c>
      <c r="C2" t="s">
        <v>259</v>
      </c>
      <c r="D2" t="s">
        <v>329</v>
      </c>
      <c r="E2" s="5" t="s">
        <v>391</v>
      </c>
      <c r="F2" s="5"/>
      <c r="G2" s="5"/>
      <c r="H2" s="5"/>
      <c r="I2" s="5"/>
      <c r="J2" s="5"/>
    </row>
    <row r="3" spans="1:14" ht="15.75" thickBot="1" x14ac:dyDescent="0.3">
      <c r="A3" t="s">
        <v>231</v>
      </c>
      <c r="B3" t="s">
        <v>250</v>
      </c>
      <c r="C3" t="s">
        <v>260</v>
      </c>
      <c r="D3" s="5" t="s">
        <v>280</v>
      </c>
      <c r="E3" s="5" t="s">
        <v>280</v>
      </c>
      <c r="F3" s="5"/>
      <c r="G3" s="5"/>
      <c r="H3" s="5"/>
      <c r="I3" s="5"/>
      <c r="J3" s="5"/>
    </row>
    <row r="4" spans="1:14" ht="15.75" thickBot="1" x14ac:dyDescent="0.3">
      <c r="A4" t="s">
        <v>245</v>
      </c>
      <c r="B4" s="5" t="s">
        <v>252</v>
      </c>
      <c r="C4" s="5" t="s">
        <v>265</v>
      </c>
      <c r="D4" s="5" t="s">
        <v>331</v>
      </c>
      <c r="E4" s="5" t="s">
        <v>59</v>
      </c>
      <c r="F4" s="5"/>
      <c r="G4" s="5"/>
      <c r="H4" s="5"/>
      <c r="I4" s="5"/>
      <c r="J4" s="5"/>
    </row>
    <row r="5" spans="1:14" ht="15.75" thickBot="1" x14ac:dyDescent="0.3">
      <c r="A5" t="s">
        <v>233</v>
      </c>
      <c r="B5" s="5" t="s">
        <v>58</v>
      </c>
      <c r="C5" s="5" t="s">
        <v>332</v>
      </c>
      <c r="D5" s="5" t="s">
        <v>336</v>
      </c>
      <c r="E5" s="5" t="s">
        <v>392</v>
      </c>
      <c r="F5" s="5"/>
      <c r="G5" s="5"/>
      <c r="H5" s="5"/>
      <c r="I5" s="5"/>
      <c r="J5" s="5"/>
    </row>
    <row r="6" spans="1:14" ht="15.75" thickBot="1" x14ac:dyDescent="0.3">
      <c r="A6" t="s">
        <v>234</v>
      </c>
      <c r="B6" s="5" t="s">
        <v>253</v>
      </c>
      <c r="C6" s="5" t="s">
        <v>333</v>
      </c>
      <c r="D6" s="5" t="s">
        <v>57</v>
      </c>
      <c r="E6" s="5" t="s">
        <v>393</v>
      </c>
      <c r="F6" s="5"/>
      <c r="G6" s="5"/>
      <c r="H6" s="5"/>
      <c r="I6" s="5"/>
      <c r="J6" s="5"/>
    </row>
    <row r="7" spans="1:14" ht="15.75" thickBot="1" x14ac:dyDescent="0.3">
      <c r="A7" t="s">
        <v>235</v>
      </c>
      <c r="B7" s="5" t="s">
        <v>254</v>
      </c>
      <c r="C7" s="5" t="s">
        <v>334</v>
      </c>
      <c r="D7" s="5" t="s">
        <v>281</v>
      </c>
      <c r="E7" s="5" t="s">
        <v>395</v>
      </c>
      <c r="F7" s="5"/>
      <c r="G7" s="5"/>
      <c r="H7" s="5"/>
      <c r="I7" s="5"/>
      <c r="J7" s="5"/>
    </row>
    <row r="8" spans="1:14" ht="15.75" thickBot="1" x14ac:dyDescent="0.3">
      <c r="A8" t="s">
        <v>236</v>
      </c>
      <c r="B8" s="5" t="s">
        <v>255</v>
      </c>
      <c r="C8" s="5" t="s">
        <v>335</v>
      </c>
      <c r="D8" s="5" t="s">
        <v>282</v>
      </c>
      <c r="E8" s="5" t="s">
        <v>396</v>
      </c>
      <c r="F8" s="5"/>
      <c r="G8" s="5"/>
      <c r="H8" s="5"/>
      <c r="I8" s="5"/>
      <c r="J8" s="5"/>
    </row>
    <row r="9" spans="1:14" ht="15.75" thickBot="1" x14ac:dyDescent="0.3">
      <c r="A9" t="s">
        <v>242</v>
      </c>
      <c r="B9" s="5" t="s">
        <v>256</v>
      </c>
      <c r="C9" s="5" t="s">
        <v>58</v>
      </c>
      <c r="D9" s="5" t="s">
        <v>283</v>
      </c>
      <c r="E9" s="5" t="s">
        <v>400</v>
      </c>
      <c r="F9" s="5"/>
      <c r="G9" s="5"/>
      <c r="H9" s="5"/>
      <c r="I9" s="5"/>
      <c r="J9" s="5"/>
    </row>
    <row r="10" spans="1:14" ht="15.75" thickBot="1" x14ac:dyDescent="0.3">
      <c r="A10" t="s">
        <v>243</v>
      </c>
      <c r="B10" s="5" t="s">
        <v>257</v>
      </c>
      <c r="C10" s="5" t="s">
        <v>48</v>
      </c>
      <c r="D10" s="5" t="s">
        <v>49</v>
      </c>
      <c r="E10" s="5" t="s">
        <v>401</v>
      </c>
      <c r="F10" s="5"/>
      <c r="G10" s="5"/>
      <c r="H10" s="5"/>
      <c r="I10" s="5"/>
      <c r="J10" s="5"/>
    </row>
    <row r="11" spans="1:14" ht="15.75" thickBot="1" x14ac:dyDescent="0.3">
      <c r="A11" t="s">
        <v>244</v>
      </c>
      <c r="B11" s="5" t="s">
        <v>258</v>
      </c>
      <c r="C11" s="5" t="s">
        <v>261</v>
      </c>
      <c r="D11" s="5" t="s">
        <v>284</v>
      </c>
      <c r="E11" s="5" t="s">
        <v>399</v>
      </c>
      <c r="F11" s="5"/>
      <c r="G11" s="5"/>
      <c r="H11" s="5"/>
      <c r="I11" s="5"/>
      <c r="J11" s="5"/>
    </row>
    <row r="12" spans="1:14" ht="15.75" thickBot="1" x14ac:dyDescent="0.3">
      <c r="A12" s="5"/>
      <c r="B12" s="5"/>
      <c r="C12" s="5" t="s">
        <v>262</v>
      </c>
      <c r="D12" s="5"/>
      <c r="E12" s="5" t="s">
        <v>398</v>
      </c>
      <c r="F12" s="5"/>
      <c r="G12" s="5"/>
      <c r="H12" s="5"/>
      <c r="I12" s="5"/>
    </row>
    <row r="13" spans="1:14" ht="15.75" thickBot="1" x14ac:dyDescent="0.3">
      <c r="A13" s="5"/>
      <c r="C13" s="5" t="s">
        <v>264</v>
      </c>
      <c r="D13" s="5"/>
      <c r="E13" s="5" t="s">
        <v>397</v>
      </c>
      <c r="H13" s="5"/>
      <c r="I13" s="5"/>
    </row>
    <row r="14" spans="1:14" ht="15.75" thickBot="1" x14ac:dyDescent="0.3">
      <c r="A14" s="5"/>
      <c r="C14" s="5" t="s">
        <v>49</v>
      </c>
    </row>
    <row r="16" spans="1:14" x14ac:dyDescent="0.25">
      <c r="A16" s="16"/>
    </row>
    <row r="17" spans="1:1" x14ac:dyDescent="0.25">
      <c r="A17" s="16"/>
    </row>
    <row r="22" spans="1:1" ht="15.75" thickBot="1" x14ac:dyDescent="0.3"/>
    <row r="23" spans="1:1" ht="15.75" thickBot="1" x14ac:dyDescent="0.3">
      <c r="A23" s="5"/>
    </row>
    <row r="24" spans="1:1" ht="15.75" thickBot="1" x14ac:dyDescent="0.3">
      <c r="A24" s="5"/>
    </row>
    <row r="25" spans="1:1" ht="15.75" thickBot="1" x14ac:dyDescent="0.3">
      <c r="A25" s="5"/>
    </row>
    <row r="26" spans="1:1" ht="15.75" thickBot="1" x14ac:dyDescent="0.3">
      <c r="A26" s="5"/>
    </row>
    <row r="27" spans="1:1" ht="15.75" thickBot="1" x14ac:dyDescent="0.3">
      <c r="A27" s="5"/>
    </row>
    <row r="28" spans="1:1" ht="15.75" thickBot="1" x14ac:dyDescent="0.3">
      <c r="A28" s="5"/>
    </row>
    <row r="29" spans="1:1" ht="15.75" thickBot="1" x14ac:dyDescent="0.3">
      <c r="A29" s="5"/>
    </row>
    <row r="30" spans="1:1" ht="15.75" thickBot="1" x14ac:dyDescent="0.3">
      <c r="A30" s="5"/>
    </row>
    <row r="31" spans="1:1" ht="15.75" thickBot="1" x14ac:dyDescent="0.3">
      <c r="A31" s="5"/>
    </row>
    <row r="32" spans="1:1" ht="15.75" thickBot="1" x14ac:dyDescent="0.3">
      <c r="A32" s="5"/>
    </row>
    <row r="33" spans="1:1" ht="15.75" thickBot="1" x14ac:dyDescent="0.3">
      <c r="A33" s="5"/>
    </row>
    <row r="34" spans="1:1" ht="15.75" thickBot="1" x14ac:dyDescent="0.3">
      <c r="A34" s="5"/>
    </row>
    <row r="35" spans="1:1" ht="15.75" thickBot="1" x14ac:dyDescent="0.3">
      <c r="A35" s="5"/>
    </row>
    <row r="36" spans="1:1" ht="15.75" thickBot="1" x14ac:dyDescent="0.3">
      <c r="A36" s="5"/>
    </row>
    <row r="37" spans="1:1" ht="15.75" thickBot="1" x14ac:dyDescent="0.3">
      <c r="A37" s="5"/>
    </row>
  </sheetData>
  <sheetProtection algorithmName="SHA-512" hashValue="00gcErJwhskZeKmoRecZqtuNbCYmMXlPe+yGfMyj/4NFVgRfF0uLx/YDuB+NSVhYgIbDRdEegJawevjKP9mozw==" saltValue="xXbWNZKsDa3aHHRKAcNrEA==" spinCount="100000" sheet="1" objects="1" scenarios="1" selectLockedCells="1" selectUnlockedCells="1"/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B2EF-84F6-40CA-B9AB-8425DEECC331}">
  <sheetPr codeName="Sheet4"/>
  <dimension ref="A1:J21"/>
  <sheetViews>
    <sheetView workbookViewId="0">
      <selection activeCell="A8" sqref="A8"/>
    </sheetView>
  </sheetViews>
  <sheetFormatPr defaultRowHeight="15" x14ac:dyDescent="0.25"/>
  <sheetData>
    <row r="1" spans="1:10" x14ac:dyDescent="0.25">
      <c r="A1" t="s">
        <v>79</v>
      </c>
      <c r="B1" t="s">
        <v>80</v>
      </c>
      <c r="C1" t="s">
        <v>63</v>
      </c>
      <c r="D1" t="s">
        <v>62</v>
      </c>
      <c r="E1" t="s">
        <v>81</v>
      </c>
      <c r="F1" t="s">
        <v>64</v>
      </c>
      <c r="G1" t="s">
        <v>60</v>
      </c>
      <c r="H1" t="s">
        <v>65</v>
      </c>
      <c r="I1" t="s">
        <v>82</v>
      </c>
      <c r="J1" t="s">
        <v>61</v>
      </c>
    </row>
    <row r="2" spans="1:10" x14ac:dyDescent="0.25">
      <c r="A2" t="s">
        <v>83</v>
      </c>
      <c r="B2" t="s">
        <v>84</v>
      </c>
      <c r="C2" t="s">
        <v>85</v>
      </c>
      <c r="D2" t="s">
        <v>86</v>
      </c>
      <c r="E2" t="s">
        <v>87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</row>
    <row r="3" spans="1:10" x14ac:dyDescent="0.25">
      <c r="A3" t="s">
        <v>83</v>
      </c>
      <c r="B3" t="s">
        <v>93</v>
      </c>
      <c r="C3" t="s">
        <v>94</v>
      </c>
      <c r="D3" t="s">
        <v>52</v>
      </c>
      <c r="E3" t="s">
        <v>95</v>
      </c>
      <c r="F3" t="s">
        <v>96</v>
      </c>
      <c r="G3" t="s">
        <v>97</v>
      </c>
      <c r="H3" t="s">
        <v>98</v>
      </c>
      <c r="I3" t="s">
        <v>99</v>
      </c>
      <c r="J3" t="s">
        <v>100</v>
      </c>
    </row>
    <row r="4" spans="1:10" x14ac:dyDescent="0.25">
      <c r="A4" t="s">
        <v>101</v>
      </c>
      <c r="B4" t="s">
        <v>102</v>
      </c>
      <c r="C4" t="s">
        <v>103</v>
      </c>
      <c r="E4" t="s">
        <v>104</v>
      </c>
      <c r="F4" t="s">
        <v>105</v>
      </c>
      <c r="G4" t="s">
        <v>106</v>
      </c>
      <c r="H4" t="s">
        <v>107</v>
      </c>
      <c r="I4" t="s">
        <v>108</v>
      </c>
      <c r="J4" t="s">
        <v>109</v>
      </c>
    </row>
    <row r="5" spans="1:10" x14ac:dyDescent="0.25">
      <c r="A5" t="s">
        <v>110</v>
      </c>
      <c r="B5" t="s">
        <v>111</v>
      </c>
      <c r="C5" t="s">
        <v>248</v>
      </c>
      <c r="F5" t="s">
        <v>112</v>
      </c>
      <c r="G5" t="s">
        <v>113</v>
      </c>
      <c r="H5" t="s">
        <v>114</v>
      </c>
      <c r="I5" t="s">
        <v>115</v>
      </c>
      <c r="J5" t="s">
        <v>116</v>
      </c>
    </row>
    <row r="6" spans="1:10" x14ac:dyDescent="0.25">
      <c r="A6" t="s">
        <v>117</v>
      </c>
      <c r="C6" t="s">
        <v>174</v>
      </c>
      <c r="H6" t="s">
        <v>118</v>
      </c>
    </row>
    <row r="7" spans="1:10" x14ac:dyDescent="0.25">
      <c r="C7" t="s">
        <v>176</v>
      </c>
      <c r="H7" t="s">
        <v>119</v>
      </c>
    </row>
    <row r="11" spans="1:10" ht="15.75" thickBot="1" x14ac:dyDescent="0.3"/>
    <row r="12" spans="1:10" ht="15.75" thickBot="1" x14ac:dyDescent="0.3">
      <c r="A12" s="5"/>
    </row>
    <row r="13" spans="1:10" ht="15.75" thickBot="1" x14ac:dyDescent="0.3">
      <c r="A13" s="5"/>
    </row>
    <row r="14" spans="1:10" ht="15.75" thickBot="1" x14ac:dyDescent="0.3">
      <c r="A14" s="5"/>
    </row>
    <row r="15" spans="1:10" ht="15.75" thickBot="1" x14ac:dyDescent="0.3">
      <c r="A15" s="5"/>
    </row>
    <row r="16" spans="1:10" ht="15.75" thickBot="1" x14ac:dyDescent="0.3">
      <c r="A16" s="5"/>
    </row>
    <row r="17" spans="1:1" ht="15.75" thickBot="1" x14ac:dyDescent="0.3">
      <c r="A17" s="5"/>
    </row>
    <row r="18" spans="1:1" ht="15.75" thickBot="1" x14ac:dyDescent="0.3">
      <c r="A18" s="5"/>
    </row>
    <row r="19" spans="1:1" ht="15.75" thickBot="1" x14ac:dyDescent="0.3">
      <c r="A19" s="5"/>
    </row>
    <row r="20" spans="1:1" ht="15.75" thickBot="1" x14ac:dyDescent="0.3">
      <c r="A20" s="5"/>
    </row>
    <row r="21" spans="1:1" ht="15.75" thickBot="1" x14ac:dyDescent="0.3">
      <c r="A21" s="5"/>
    </row>
  </sheetData>
  <sheetProtection algorithmName="SHA-512" hashValue="jEH/Z+fmoz+ojJAM+S4dBT+gdLqzsBxDY5JoHmOZgKkh95nTqnllp5+xgDyGvppUxZjB4iRvXxlCJ6VSd6yi3Q==" saltValue="pD6TICEEqLoVM3wI6vbIBw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A2AE4-954D-4228-81FA-B134705A6978}">
  <sheetPr codeName="Sheet6"/>
  <dimension ref="A1:J7"/>
  <sheetViews>
    <sheetView workbookViewId="0">
      <selection activeCell="J8" sqref="J8"/>
    </sheetView>
  </sheetViews>
  <sheetFormatPr defaultRowHeight="15" x14ac:dyDescent="0.25"/>
  <sheetData>
    <row r="1" spans="1:10" x14ac:dyDescent="0.25">
      <c r="A1" t="s">
        <v>79</v>
      </c>
      <c r="B1" t="s">
        <v>62</v>
      </c>
      <c r="C1" t="s">
        <v>120</v>
      </c>
      <c r="D1" t="s">
        <v>121</v>
      </c>
      <c r="E1" t="s">
        <v>64</v>
      </c>
      <c r="F1" t="s">
        <v>60</v>
      </c>
      <c r="G1" t="s">
        <v>122</v>
      </c>
      <c r="H1" t="s">
        <v>123</v>
      </c>
      <c r="I1" t="s">
        <v>124</v>
      </c>
      <c r="J1" t="s">
        <v>61</v>
      </c>
    </row>
    <row r="2" spans="1:10" x14ac:dyDescent="0.25">
      <c r="A2" t="s">
        <v>142</v>
      </c>
      <c r="B2" t="s">
        <v>143</v>
      </c>
      <c r="C2" t="s">
        <v>144</v>
      </c>
      <c r="D2" t="s">
        <v>145</v>
      </c>
      <c r="E2" t="s">
        <v>88</v>
      </c>
      <c r="F2" t="s">
        <v>89</v>
      </c>
      <c r="G2" t="s">
        <v>146</v>
      </c>
      <c r="H2" t="s">
        <v>147</v>
      </c>
      <c r="I2" t="s">
        <v>148</v>
      </c>
      <c r="J2" t="s">
        <v>149</v>
      </c>
    </row>
    <row r="3" spans="1:10" x14ac:dyDescent="0.25">
      <c r="A3" t="s">
        <v>150</v>
      </c>
      <c r="B3" t="s">
        <v>151</v>
      </c>
      <c r="C3" t="s">
        <v>152</v>
      </c>
      <c r="D3" t="s">
        <v>153</v>
      </c>
      <c r="E3" t="s">
        <v>154</v>
      </c>
      <c r="F3" t="s">
        <v>155</v>
      </c>
      <c r="G3" t="s">
        <v>156</v>
      </c>
      <c r="H3" t="s">
        <v>157</v>
      </c>
      <c r="I3" t="s">
        <v>158</v>
      </c>
      <c r="J3" t="s">
        <v>159</v>
      </c>
    </row>
    <row r="4" spans="1:10" x14ac:dyDescent="0.25">
      <c r="A4" t="s">
        <v>160</v>
      </c>
      <c r="C4" t="s">
        <v>207</v>
      </c>
      <c r="D4" t="s">
        <v>161</v>
      </c>
      <c r="E4" t="s">
        <v>162</v>
      </c>
      <c r="F4" t="s">
        <v>106</v>
      </c>
      <c r="G4" t="s">
        <v>163</v>
      </c>
      <c r="H4" t="s">
        <v>164</v>
      </c>
      <c r="I4" t="s">
        <v>165</v>
      </c>
      <c r="J4" t="s">
        <v>166</v>
      </c>
    </row>
    <row r="5" spans="1:10" x14ac:dyDescent="0.25">
      <c r="A5" t="s">
        <v>167</v>
      </c>
      <c r="C5" t="s">
        <v>216</v>
      </c>
      <c r="D5" t="s">
        <v>168</v>
      </c>
      <c r="E5" t="s">
        <v>112</v>
      </c>
      <c r="F5" t="s">
        <v>169</v>
      </c>
      <c r="G5" t="s">
        <v>170</v>
      </c>
      <c r="H5" t="s">
        <v>171</v>
      </c>
      <c r="I5" t="s">
        <v>172</v>
      </c>
      <c r="J5" t="s">
        <v>173</v>
      </c>
    </row>
    <row r="6" spans="1:10" x14ac:dyDescent="0.25">
      <c r="D6" t="s">
        <v>174</v>
      </c>
      <c r="G6" t="s">
        <v>175</v>
      </c>
    </row>
    <row r="7" spans="1:10" x14ac:dyDescent="0.25">
      <c r="D7" t="s">
        <v>176</v>
      </c>
      <c r="G7" t="s">
        <v>177</v>
      </c>
    </row>
  </sheetData>
  <sheetProtection algorithmName="SHA-512" hashValue="QzC2kkJuOSMlZp668+DCTT1aaRGBvqsvUVowYIwOvRTFjgRRcUSNNOHGSLzZy3wPxmZH17EwQ9hgwbd41D5A4w==" saltValue="dfbi+ay0HRTOmSskS1fmfQ==" spinCount="100000" sheet="1" objects="1" scenarios="1"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E5273-418F-426D-9AF9-CA83A77B72A9}">
  <sheetPr codeName="Sheet7"/>
  <dimension ref="A1:M7"/>
  <sheetViews>
    <sheetView workbookViewId="0">
      <selection activeCell="A8" sqref="A8"/>
    </sheetView>
  </sheetViews>
  <sheetFormatPr defaultRowHeight="15" x14ac:dyDescent="0.25"/>
  <sheetData>
    <row r="1" spans="1:13" x14ac:dyDescent="0.25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178</v>
      </c>
      <c r="M1" t="s">
        <v>179</v>
      </c>
    </row>
    <row r="2" spans="1:13" x14ac:dyDescent="0.25">
      <c r="A2" t="s">
        <v>180</v>
      </c>
      <c r="B2" t="s">
        <v>181</v>
      </c>
      <c r="C2" t="s">
        <v>182</v>
      </c>
      <c r="D2" t="s">
        <v>183</v>
      </c>
      <c r="E2" t="s">
        <v>184</v>
      </c>
      <c r="F2" t="s">
        <v>185</v>
      </c>
      <c r="G2" t="s">
        <v>186</v>
      </c>
      <c r="H2" t="s">
        <v>187</v>
      </c>
      <c r="I2" t="s">
        <v>188</v>
      </c>
      <c r="J2" t="s">
        <v>189</v>
      </c>
      <c r="K2" t="s">
        <v>190</v>
      </c>
      <c r="L2" t="s">
        <v>191</v>
      </c>
      <c r="M2" t="s">
        <v>192</v>
      </c>
    </row>
    <row r="3" spans="1:13" x14ac:dyDescent="0.25">
      <c r="A3" t="s">
        <v>193</v>
      </c>
      <c r="B3" t="s">
        <v>194</v>
      </c>
      <c r="C3" t="s">
        <v>195</v>
      </c>
      <c r="D3" t="s">
        <v>196</v>
      </c>
      <c r="E3" t="s">
        <v>197</v>
      </c>
      <c r="F3" t="s">
        <v>198</v>
      </c>
      <c r="G3" t="s">
        <v>199</v>
      </c>
      <c r="H3" t="s">
        <v>200</v>
      </c>
      <c r="I3" t="s">
        <v>201</v>
      </c>
      <c r="J3" t="s">
        <v>202</v>
      </c>
      <c r="K3" t="s">
        <v>203</v>
      </c>
      <c r="L3" t="s">
        <v>204</v>
      </c>
      <c r="M3" t="s">
        <v>205</v>
      </c>
    </row>
    <row r="4" spans="1:13" x14ac:dyDescent="0.25">
      <c r="A4" t="s">
        <v>206</v>
      </c>
      <c r="D4" t="s">
        <v>207</v>
      </c>
      <c r="F4" t="s">
        <v>208</v>
      </c>
      <c r="H4" t="s">
        <v>209</v>
      </c>
      <c r="I4" t="s">
        <v>210</v>
      </c>
      <c r="J4" t="s">
        <v>211</v>
      </c>
      <c r="K4" t="s">
        <v>212</v>
      </c>
      <c r="L4" t="s">
        <v>213</v>
      </c>
      <c r="M4" t="s">
        <v>214</v>
      </c>
    </row>
    <row r="5" spans="1:13" x14ac:dyDescent="0.25">
      <c r="A5" t="s">
        <v>215</v>
      </c>
      <c r="D5" t="s">
        <v>216</v>
      </c>
      <c r="F5" t="s">
        <v>217</v>
      </c>
      <c r="H5" t="s">
        <v>218</v>
      </c>
      <c r="I5" t="s">
        <v>219</v>
      </c>
      <c r="J5" t="s">
        <v>220</v>
      </c>
      <c r="K5" t="s">
        <v>221</v>
      </c>
      <c r="L5" t="s">
        <v>222</v>
      </c>
      <c r="M5" t="s">
        <v>223</v>
      </c>
    </row>
    <row r="6" spans="1:13" x14ac:dyDescent="0.25">
      <c r="I6" t="s">
        <v>224</v>
      </c>
      <c r="J6" t="s">
        <v>225</v>
      </c>
      <c r="K6" t="s">
        <v>51</v>
      </c>
      <c r="L6" t="s">
        <v>226</v>
      </c>
      <c r="M6" t="s">
        <v>214</v>
      </c>
    </row>
    <row r="7" spans="1:13" x14ac:dyDescent="0.25">
      <c r="I7" t="s">
        <v>227</v>
      </c>
      <c r="J7" t="s">
        <v>228</v>
      </c>
      <c r="K7" t="s">
        <v>229</v>
      </c>
      <c r="L7" t="s">
        <v>230</v>
      </c>
    </row>
  </sheetData>
  <sheetProtection algorithmName="SHA-512" hashValue="REYXhzVXEVFwWRqHHTZt6C9v7HRMI/PMVxTonvMz83dmcQfHp8sjsz8mxvyMelzhdjoIT2FTHd1vm3DuknlsMg==" saltValue="pWkJahqNdJvL/k7hiXV68w==" spinCount="100000" sheet="1" objects="1" scenarios="1" selectLockedCells="1" selectUnlockedCells="1"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C90-6708-4B1E-8814-0B767ED9143A}">
  <sheetPr codeName="Sheet8"/>
  <dimension ref="A1:J7"/>
  <sheetViews>
    <sheetView workbookViewId="0">
      <selection activeCell="A9" sqref="A9"/>
    </sheetView>
  </sheetViews>
  <sheetFormatPr defaultRowHeight="15" x14ac:dyDescent="0.25"/>
  <sheetData>
    <row r="1" spans="1:10" x14ac:dyDescent="0.25">
      <c r="A1" t="s">
        <v>268</v>
      </c>
      <c r="B1" t="s">
        <v>269</v>
      </c>
      <c r="C1" t="s">
        <v>270</v>
      </c>
      <c r="D1" t="s">
        <v>271</v>
      </c>
      <c r="E1" t="s">
        <v>272</v>
      </c>
      <c r="F1" t="s">
        <v>273</v>
      </c>
      <c r="G1" t="s">
        <v>274</v>
      </c>
      <c r="H1" t="s">
        <v>275</v>
      </c>
      <c r="I1" t="s">
        <v>179</v>
      </c>
      <c r="J1" t="s">
        <v>276</v>
      </c>
    </row>
    <row r="2" spans="1:10" x14ac:dyDescent="0.25">
      <c r="A2" t="s">
        <v>285</v>
      </c>
      <c r="B2" t="s">
        <v>286</v>
      </c>
      <c r="C2" t="s">
        <v>287</v>
      </c>
      <c r="D2" t="s">
        <v>288</v>
      </c>
      <c r="E2" t="s">
        <v>289</v>
      </c>
      <c r="F2" t="s">
        <v>290</v>
      </c>
      <c r="G2" t="s">
        <v>291</v>
      </c>
      <c r="H2" t="s">
        <v>292</v>
      </c>
      <c r="I2" t="s">
        <v>293</v>
      </c>
      <c r="J2" t="s">
        <v>294</v>
      </c>
    </row>
    <row r="3" spans="1:10" x14ac:dyDescent="0.25">
      <c r="A3" t="s">
        <v>295</v>
      </c>
      <c r="B3" t="s">
        <v>296</v>
      </c>
      <c r="C3" t="s">
        <v>297</v>
      </c>
      <c r="D3" t="s">
        <v>298</v>
      </c>
      <c r="E3" t="s">
        <v>299</v>
      </c>
      <c r="F3" t="s">
        <v>300</v>
      </c>
      <c r="G3" t="s">
        <v>301</v>
      </c>
      <c r="H3" t="s">
        <v>302</v>
      </c>
      <c r="I3" t="s">
        <v>303</v>
      </c>
      <c r="J3" t="s">
        <v>304</v>
      </c>
    </row>
    <row r="4" spans="1:10" x14ac:dyDescent="0.25">
      <c r="A4" t="s">
        <v>305</v>
      </c>
      <c r="D4" t="s">
        <v>306</v>
      </c>
      <c r="E4" t="s">
        <v>307</v>
      </c>
      <c r="F4" t="s">
        <v>308</v>
      </c>
      <c r="G4" t="s">
        <v>309</v>
      </c>
      <c r="H4" t="s">
        <v>310</v>
      </c>
      <c r="I4" t="s">
        <v>311</v>
      </c>
      <c r="J4" t="s">
        <v>312</v>
      </c>
    </row>
    <row r="5" spans="1:10" x14ac:dyDescent="0.25">
      <c r="A5" t="s">
        <v>313</v>
      </c>
      <c r="D5" t="s">
        <v>314</v>
      </c>
      <c r="E5" t="s">
        <v>315</v>
      </c>
      <c r="F5" t="s">
        <v>316</v>
      </c>
      <c r="G5" t="s">
        <v>317</v>
      </c>
      <c r="H5" t="s">
        <v>318</v>
      </c>
      <c r="I5" t="s">
        <v>319</v>
      </c>
      <c r="J5" t="s">
        <v>320</v>
      </c>
    </row>
    <row r="6" spans="1:10" x14ac:dyDescent="0.25">
      <c r="F6" t="s">
        <v>321</v>
      </c>
      <c r="G6" t="s">
        <v>322</v>
      </c>
      <c r="H6" t="s">
        <v>323</v>
      </c>
      <c r="I6" t="s">
        <v>324</v>
      </c>
    </row>
    <row r="7" spans="1:10" x14ac:dyDescent="0.25">
      <c r="F7" t="s">
        <v>325</v>
      </c>
      <c r="G7" t="s">
        <v>326</v>
      </c>
      <c r="H7" t="s">
        <v>327</v>
      </c>
      <c r="I7" t="s">
        <v>328</v>
      </c>
    </row>
  </sheetData>
  <sheetProtection algorithmName="SHA-512" hashValue="BbT8WaxyzKjFdNeGPE1QGaPlpGYp1xpNMcW2f9pcGZYIqcXykyUQVH0JayVdemXSvpZLox1Ca23pbgpoNWschA==" saltValue="lJZ8+YgymMfZBV0qztEFlA==" spinCount="100000" sheet="1" objects="1" scenarios="1" selectLockedCells="1" selectUnlockedCells="1"/>
  <pageMargins left="0.7" right="0.7" top="0.75" bottom="0.75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F00E-4330-4D65-9EAF-91097C3E3E62}">
  <sheetPr codeName="Sheet9"/>
  <dimension ref="A1:L7"/>
  <sheetViews>
    <sheetView workbookViewId="0">
      <selection activeCell="K2" sqref="K2"/>
    </sheetView>
  </sheetViews>
  <sheetFormatPr defaultRowHeight="15" x14ac:dyDescent="0.25"/>
  <sheetData>
    <row r="1" spans="1:12" x14ac:dyDescent="0.25">
      <c r="A1" t="s">
        <v>337</v>
      </c>
      <c r="B1" t="s">
        <v>338</v>
      </c>
      <c r="C1" t="s">
        <v>68</v>
      </c>
      <c r="D1" t="s">
        <v>339</v>
      </c>
      <c r="E1" t="s">
        <v>340</v>
      </c>
      <c r="F1" t="s">
        <v>341</v>
      </c>
      <c r="G1" t="s">
        <v>347</v>
      </c>
      <c r="H1" t="s">
        <v>342</v>
      </c>
      <c r="I1" t="s">
        <v>343</v>
      </c>
      <c r="J1" t="s">
        <v>348</v>
      </c>
      <c r="K1" t="s">
        <v>61</v>
      </c>
      <c r="L1" t="s">
        <v>279</v>
      </c>
    </row>
    <row r="2" spans="1:12" x14ac:dyDescent="0.25">
      <c r="A2" t="s">
        <v>349</v>
      </c>
      <c r="B2" t="s">
        <v>402</v>
      </c>
      <c r="C2" t="s">
        <v>351</v>
      </c>
      <c r="D2" t="s">
        <v>352</v>
      </c>
      <c r="E2" t="s">
        <v>353</v>
      </c>
      <c r="F2" t="s">
        <v>354</v>
      </c>
      <c r="G2" t="s">
        <v>355</v>
      </c>
      <c r="H2" t="s">
        <v>356</v>
      </c>
      <c r="I2" t="s">
        <v>357</v>
      </c>
      <c r="J2" t="s">
        <v>358</v>
      </c>
      <c r="K2" t="s">
        <v>389</v>
      </c>
      <c r="L2" t="s">
        <v>294</v>
      </c>
    </row>
    <row r="3" spans="1:12" x14ac:dyDescent="0.25">
      <c r="A3" t="s">
        <v>359</v>
      </c>
      <c r="B3" t="s">
        <v>350</v>
      </c>
      <c r="C3" t="s">
        <v>360</v>
      </c>
      <c r="D3" t="s">
        <v>361</v>
      </c>
      <c r="E3" t="s">
        <v>362</v>
      </c>
      <c r="F3" t="s">
        <v>363</v>
      </c>
      <c r="G3" t="s">
        <v>364</v>
      </c>
      <c r="H3" t="s">
        <v>365</v>
      </c>
      <c r="I3" t="s">
        <v>366</v>
      </c>
      <c r="J3" t="s">
        <v>367</v>
      </c>
      <c r="K3" t="s">
        <v>303</v>
      </c>
      <c r="L3" t="s">
        <v>304</v>
      </c>
    </row>
    <row r="4" spans="1:12" x14ac:dyDescent="0.25">
      <c r="C4" t="s">
        <v>368</v>
      </c>
      <c r="E4" t="s">
        <v>369</v>
      </c>
      <c r="F4" t="s">
        <v>370</v>
      </c>
      <c r="G4" t="s">
        <v>387</v>
      </c>
      <c r="H4" t="s">
        <v>371</v>
      </c>
      <c r="I4" t="s">
        <v>372</v>
      </c>
      <c r="J4" t="s">
        <v>310</v>
      </c>
      <c r="K4" t="s">
        <v>311</v>
      </c>
      <c r="L4" t="s">
        <v>312</v>
      </c>
    </row>
    <row r="5" spans="1:12" x14ac:dyDescent="0.25">
      <c r="C5" t="s">
        <v>373</v>
      </c>
      <c r="E5" t="s">
        <v>374</v>
      </c>
      <c r="F5" t="s">
        <v>375</v>
      </c>
      <c r="G5" t="s">
        <v>376</v>
      </c>
      <c r="H5" t="s">
        <v>377</v>
      </c>
      <c r="I5" t="s">
        <v>378</v>
      </c>
      <c r="J5" t="s">
        <v>379</v>
      </c>
      <c r="K5" t="s">
        <v>390</v>
      </c>
      <c r="L5" t="s">
        <v>320</v>
      </c>
    </row>
    <row r="6" spans="1:12" x14ac:dyDescent="0.25">
      <c r="E6" t="s">
        <v>380</v>
      </c>
      <c r="G6" t="s">
        <v>381</v>
      </c>
      <c r="H6" t="s">
        <v>382</v>
      </c>
      <c r="J6" t="s">
        <v>383</v>
      </c>
      <c r="K6" t="s">
        <v>324</v>
      </c>
    </row>
    <row r="7" spans="1:12" x14ac:dyDescent="0.25">
      <c r="E7" t="s">
        <v>384</v>
      </c>
      <c r="G7" t="s">
        <v>388</v>
      </c>
      <c r="H7" t="s">
        <v>385</v>
      </c>
      <c r="J7" t="s">
        <v>386</v>
      </c>
      <c r="K7" t="s">
        <v>328</v>
      </c>
    </row>
  </sheetData>
  <sheetProtection algorithmName="SHA-512" hashValue="VpAHiUantUMYiF2Wfi0Q3bCYxv/nzbhjqs8feXHgOfiLbkMQPXw2+5sbgfzfoPW0rdnNHC38ogeVa1jzoCH7IA==" saltValue="io8BEAC1CPh/ELsGduR5Fw==" spinCount="100000" sheet="1" objects="1" scenarios="1" selectLockedCells="1" selectUnlockedCell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03CD1-B5A8-4E94-8625-B4508D21B952}">
  <sheetPr codeName="Sheet16"/>
  <dimension ref="A1:C13"/>
  <sheetViews>
    <sheetView workbookViewId="0">
      <selection activeCell="C1" sqref="C1"/>
    </sheetView>
  </sheetViews>
  <sheetFormatPr defaultRowHeight="15" x14ac:dyDescent="0.25"/>
  <cols>
    <col min="1" max="1" width="14.28515625" customWidth="1"/>
    <col min="2" max="2" width="34.28515625" bestFit="1" customWidth="1"/>
    <col min="3" max="3" width="43.42578125" bestFit="1" customWidth="1"/>
  </cols>
  <sheetData>
    <row r="1" spans="1:3" ht="15.75" thickBot="1" x14ac:dyDescent="0.3">
      <c r="A1" s="5" t="str">
        <f>LevelsDD!$A$1</f>
        <v>Sea Otter</v>
      </c>
      <c r="C1" t="str">
        <f>SUBSTITUTE(A1," ","") &amp; "_" &amp; SUBSTITUTE(B1," ","")</f>
        <v>SeaOtter_</v>
      </c>
    </row>
    <row r="2" spans="1:3" ht="15.75" thickBot="1" x14ac:dyDescent="0.3">
      <c r="A2" s="5" t="str">
        <f>LevelsDD!$A$1</f>
        <v>Sea Otter</v>
      </c>
      <c r="B2" t="e">
        <f>LevelsDD!#REF!</f>
        <v>#REF!</v>
      </c>
      <c r="C2" t="e">
        <f t="shared" ref="C2:C10" si="0">SUBSTITUTE(A2," ","") &amp; "_" &amp; SUBSTITUTE(B2," ","")</f>
        <v>#REF!</v>
      </c>
    </row>
    <row r="3" spans="1:3" ht="15.75" thickBot="1" x14ac:dyDescent="0.3">
      <c r="A3" s="5" t="str">
        <f>LevelsDD!$A$1</f>
        <v>Sea Otter</v>
      </c>
      <c r="B3" t="e">
        <f>LevelsDD!#REF!</f>
        <v>#REF!</v>
      </c>
      <c r="C3" t="e">
        <f t="shared" si="0"/>
        <v>#REF!</v>
      </c>
    </row>
    <row r="4" spans="1:3" ht="15.75" thickBot="1" x14ac:dyDescent="0.3">
      <c r="A4" s="5" t="str">
        <f>LevelsDD!$A$1</f>
        <v>Sea Otter</v>
      </c>
      <c r="B4" t="e">
        <f>LevelsDD!#REF!</f>
        <v>#REF!</v>
      </c>
      <c r="C4" t="e">
        <f t="shared" si="0"/>
        <v>#REF!</v>
      </c>
    </row>
    <row r="5" spans="1:3" ht="15.75" thickBot="1" x14ac:dyDescent="0.3">
      <c r="A5" s="5" t="str">
        <f>LevelsDD!$A$1</f>
        <v>Sea Otter</v>
      </c>
      <c r="B5" t="e">
        <f>LevelsDD!#REF!</f>
        <v>#REF!</v>
      </c>
      <c r="C5" t="e">
        <f t="shared" si="0"/>
        <v>#REF!</v>
      </c>
    </row>
    <row r="6" spans="1:3" ht="15.75" thickBot="1" x14ac:dyDescent="0.3">
      <c r="A6" s="5" t="str">
        <f>LevelsDD!$A$1</f>
        <v>Sea Otter</v>
      </c>
      <c r="B6" t="e">
        <f>LevelsDD!#REF!</f>
        <v>#REF!</v>
      </c>
      <c r="C6" t="e">
        <f t="shared" si="0"/>
        <v>#REF!</v>
      </c>
    </row>
    <row r="7" spans="1:3" ht="15.75" thickBot="1" x14ac:dyDescent="0.3">
      <c r="A7" s="5" t="str">
        <f>LevelsDD!$A$1</f>
        <v>Sea Otter</v>
      </c>
      <c r="B7" t="e">
        <f>LevelsDD!#REF!</f>
        <v>#REF!</v>
      </c>
      <c r="C7" t="e">
        <f t="shared" si="0"/>
        <v>#REF!</v>
      </c>
    </row>
    <row r="8" spans="1:3" ht="15.75" thickBot="1" x14ac:dyDescent="0.3">
      <c r="A8" s="5" t="str">
        <f>LevelsDD!$A$1</f>
        <v>Sea Otter</v>
      </c>
      <c r="B8" t="e">
        <f>LevelsDD!#REF!</f>
        <v>#REF!</v>
      </c>
      <c r="C8" t="e">
        <f t="shared" si="0"/>
        <v>#REF!</v>
      </c>
    </row>
    <row r="9" spans="1:3" ht="15.75" thickBot="1" x14ac:dyDescent="0.3">
      <c r="A9" s="5" t="str">
        <f>LevelsDD!$A$1</f>
        <v>Sea Otter</v>
      </c>
      <c r="B9" t="e">
        <f>LevelsDD!#REF!</f>
        <v>#REF!</v>
      </c>
      <c r="C9" t="e">
        <f t="shared" si="0"/>
        <v>#REF!</v>
      </c>
    </row>
    <row r="10" spans="1:3" ht="15.75" thickBot="1" x14ac:dyDescent="0.3">
      <c r="A10" s="5" t="str">
        <f>LevelsDD!$A$1</f>
        <v>Sea Otter</v>
      </c>
      <c r="B10" t="e">
        <f>LevelsDD!#REF!</f>
        <v>#REF!</v>
      </c>
      <c r="C10" t="e">
        <f t="shared" si="0"/>
        <v>#REF!</v>
      </c>
    </row>
    <row r="11" spans="1:3" ht="15.75" thickBot="1" x14ac:dyDescent="0.3">
      <c r="A11" s="5"/>
    </row>
    <row r="12" spans="1:3" ht="15.75" thickBot="1" x14ac:dyDescent="0.3">
      <c r="A12" s="5"/>
    </row>
    <row r="13" spans="1:3" ht="15.75" thickBot="1" x14ac:dyDescent="0.3">
      <c r="A13" s="5"/>
    </row>
  </sheetData>
  <sheetProtection algorithmName="SHA-512" hashValue="v6x5y65hwdxnYnZMynHVWY9QxLmH5ZqHcv1cObKzkU8RO7TgZy3Lad+kLUOGsCv3AP7nlUNnk5x/+V8MPHfsWg==" saltValue="3UBNq/Yf+fMGWMjtq539JQ==" spinCount="100000" sheet="1" objects="1" scenarios="1" selectLockedCells="1" selectUnlockedCells="1"/>
  <phoneticPr fontId="6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44DF7-8E5F-4755-A341-116CF880BE35}">
  <sheetPr codeName="Sheet15"/>
  <dimension ref="A1:G4"/>
  <sheetViews>
    <sheetView workbookViewId="0"/>
  </sheetViews>
  <sheetFormatPr defaultRowHeight="15" x14ac:dyDescent="0.25"/>
  <sheetData>
    <row r="1" spans="1:7" x14ac:dyDescent="0.25">
      <c r="A1" t="s">
        <v>29</v>
      </c>
    </row>
    <row r="2" spans="1:7" x14ac:dyDescent="0.25">
      <c r="A2" t="s">
        <v>29</v>
      </c>
      <c r="B2" t="s">
        <v>50</v>
      </c>
    </row>
    <row r="3" spans="1:7" x14ac:dyDescent="0.25">
      <c r="A3" t="s">
        <v>53</v>
      </c>
      <c r="B3" t="s">
        <v>42</v>
      </c>
      <c r="C3" t="s">
        <v>47</v>
      </c>
      <c r="D3" t="s">
        <v>46</v>
      </c>
      <c r="E3" t="s">
        <v>45</v>
      </c>
      <c r="F3" t="s">
        <v>44</v>
      </c>
      <c r="G3" t="s">
        <v>43</v>
      </c>
    </row>
    <row r="4" spans="1:7" x14ac:dyDescent="0.25">
      <c r="A4" t="s">
        <v>54</v>
      </c>
      <c r="B4" t="s">
        <v>55</v>
      </c>
      <c r="C4">
        <v>0</v>
      </c>
      <c r="D4">
        <v>3</v>
      </c>
      <c r="E4">
        <v>3</v>
      </c>
      <c r="F4" t="s">
        <v>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2D8E98-9FA5-43F3-A51C-9FE28D0D28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73</vt:i4>
      </vt:variant>
    </vt:vector>
  </HeadingPairs>
  <TitlesOfParts>
    <vt:vector size="84" baseType="lpstr">
      <vt:lpstr>Sheet1</vt:lpstr>
      <vt:lpstr>Data</vt:lpstr>
      <vt:lpstr>LevelsDD</vt:lpstr>
      <vt:lpstr>LevelsComments</vt:lpstr>
      <vt:lpstr>SeaOtterReason</vt:lpstr>
      <vt:lpstr>SalamanderReason</vt:lpstr>
      <vt:lpstr>SunfishReason</vt:lpstr>
      <vt:lpstr>CrocodileReason</vt:lpstr>
      <vt:lpstr>WhaleReason</vt:lpstr>
      <vt:lpstr>Sheet2</vt:lpstr>
      <vt:lpstr>List</vt:lpstr>
      <vt:lpstr>Closer</vt:lpstr>
      <vt:lpstr>Code</vt:lpstr>
      <vt:lpstr>Crocodile</vt:lpstr>
      <vt:lpstr>Crocodile_backglidewithkick</vt:lpstr>
      <vt:lpstr>Crocodile_backswim</vt:lpstr>
      <vt:lpstr>Crocodile_Comm</vt:lpstr>
      <vt:lpstr>Crocodile_distanceswim</vt:lpstr>
      <vt:lpstr>Crocodile_frontglidewithkick</vt:lpstr>
      <vt:lpstr>Crocodile_frontswim</vt:lpstr>
      <vt:lpstr>Crocodile_jumpingintodeepwatersurfacesupport</vt:lpstr>
      <vt:lpstr>Crocodile_kickingwithabuoyantobject</vt:lpstr>
      <vt:lpstr>Crocodile_rhythmicbreathing</vt:lpstr>
      <vt:lpstr>Crocodile_sideglidewithkick</vt:lpstr>
      <vt:lpstr>Crocodile_surfacesupport</vt:lpstr>
      <vt:lpstr>CurrentSession</vt:lpstr>
      <vt:lpstr>Days</vt:lpstr>
      <vt:lpstr>Level</vt:lpstr>
      <vt:lpstr>NextLevelSession</vt:lpstr>
      <vt:lpstr>Opener</vt:lpstr>
      <vt:lpstr>Salamander</vt:lpstr>
      <vt:lpstr>Salamander_assistedsurfacesupport</vt:lpstr>
      <vt:lpstr>Salamander_backfloatandrecovery</vt:lpstr>
      <vt:lpstr>Salamander_backglidewithkick</vt:lpstr>
      <vt:lpstr>Salamander_Comm</vt:lpstr>
      <vt:lpstr>Salamander_distanceswim</vt:lpstr>
      <vt:lpstr>Salamander_frontfloatandrecovery</vt:lpstr>
      <vt:lpstr>Salamander_frontglidewithkick</vt:lpstr>
      <vt:lpstr>Salamander_frontswim</vt:lpstr>
      <vt:lpstr>Salamander_kickingonfrontwithabuoyantobject</vt:lpstr>
      <vt:lpstr>Salamander_rhythmicbreathing</vt:lpstr>
      <vt:lpstr>Salamander_rolloverglides</vt:lpstr>
      <vt:lpstr>SeaOtter</vt:lpstr>
      <vt:lpstr>SeaOtter_assistedbackfloatandrecovery</vt:lpstr>
      <vt:lpstr>SeaOtter_assistedbackglide</vt:lpstr>
      <vt:lpstr>SeaOtter_assistedfrontfloatandrecovery</vt:lpstr>
      <vt:lpstr>SeaOtter_assistedfrontglide</vt:lpstr>
      <vt:lpstr>SeaOtter_assistedfrontswim</vt:lpstr>
      <vt:lpstr>SeaOtter_Comm</vt:lpstr>
      <vt:lpstr>SeaOtter_distanceswim</vt:lpstr>
      <vt:lpstr>SeaOtter_kickingonfrontwithabuoyantobject</vt:lpstr>
      <vt:lpstr>SeaOtter_openingeyesunderwater</vt:lpstr>
      <vt:lpstr>SeaOtter_rhythmicbreathing</vt:lpstr>
      <vt:lpstr>SeaOtter_safeentriesandexits</vt:lpstr>
      <vt:lpstr>Sunfish</vt:lpstr>
      <vt:lpstr>Sunfish_assistedsideglidewithkick</vt:lpstr>
      <vt:lpstr>Sunfish_backfloatandrecoveryindeepwater</vt:lpstr>
      <vt:lpstr>Sunfish_backglidewithkick</vt:lpstr>
      <vt:lpstr>Sunfish_changingdirectioninshallowwater</vt:lpstr>
      <vt:lpstr>Sunfish_Comm</vt:lpstr>
      <vt:lpstr>Sunfish_distanceswim</vt:lpstr>
      <vt:lpstr>Sunfish_frontfloatandrecoveryindeepwater</vt:lpstr>
      <vt:lpstr>Sunfish_frontglidewithkick</vt:lpstr>
      <vt:lpstr>Sunfish_frontswim</vt:lpstr>
      <vt:lpstr>Sunfish_jumpingintochestdeepwatersurfacesupport</vt:lpstr>
      <vt:lpstr>Sunfish_kickingonfrontwithabuoyantobject</vt:lpstr>
      <vt:lpstr>Sunfish_rhythmicbreathing</vt:lpstr>
      <vt:lpstr>Sunfish_rolloverglidewithkick</vt:lpstr>
      <vt:lpstr>Sunfish_surfacesupportinchestdeepwater</vt:lpstr>
      <vt:lpstr>Whale</vt:lpstr>
      <vt:lpstr>Whale_backglidewithkick</vt:lpstr>
      <vt:lpstr>Whale_backswim</vt:lpstr>
      <vt:lpstr>Whale_Comm</vt:lpstr>
      <vt:lpstr>Whale_distanceswim</vt:lpstr>
      <vt:lpstr>Whale_frontglidewithkick</vt:lpstr>
      <vt:lpstr>Whale_frontswim</vt:lpstr>
      <vt:lpstr>Whale_jumpingintodeepwater</vt:lpstr>
      <vt:lpstr>Whale_kicking</vt:lpstr>
      <vt:lpstr>Whale_rhythmicbreathingfronttosideglidewithkick</vt:lpstr>
      <vt:lpstr>Whale_sideglidewithkick</vt:lpstr>
      <vt:lpstr>Whale_sittingdive</vt:lpstr>
      <vt:lpstr>Whale_stopcallforhelpthrowingassist</vt:lpstr>
      <vt:lpstr>Whale_surfacesupport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Granovski</dc:creator>
  <cp:lastModifiedBy>Gregory Granovski</cp:lastModifiedBy>
  <dcterms:created xsi:type="dcterms:W3CDTF">2021-12-27T15:06:40Z</dcterms:created>
  <dcterms:modified xsi:type="dcterms:W3CDTF">2022-11-19T23:28:12Z</dcterms:modified>
</cp:coreProperties>
</file>